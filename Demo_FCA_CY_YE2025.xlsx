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2" activeTab="0" autoFilterDateGrouping="1"/>
  </bookViews>
  <sheets>
    <sheet xmlns:r="http://schemas.openxmlformats.org/officeDocument/2006/relationships" name="F.1 EBS" sheetId="1" state="visible" r:id="rId1"/>
    <sheet xmlns:r="http://schemas.openxmlformats.org/officeDocument/2006/relationships" name="F.LT.1.1 LT CE Summary" sheetId="2" state="visible" r:id="rId2"/>
    <sheet xmlns:r="http://schemas.openxmlformats.org/officeDocument/2006/relationships" name="CA.1 CA Summary" sheetId="3" state="visible" r:id="rId3"/>
  </sheets>
  <definedNames>
    <definedName name="BUSINESS_TYPE_COLUMNS">#REF!</definedName>
    <definedName name="BUSS_TYPE_COLUMNS">#REF!</definedName>
    <definedName name="BUSS_TYPE_LISTS">#REF!</definedName>
    <definedName name="CA.R.2_Features_of_instruments_SUM">'CA.R.2 Features of instruments'!$E$15:$T$15,'CA.R.2 Features of instruments'!$E$17:$T$17,'CA.R.2 Features of instruments'!$E$21:$T$21</definedName>
    <definedName name="checksum_F.LT.3">'F.LT.3 TVOG'!$F$10:$I$26</definedName>
    <definedName name="DEV_MODE">#REF!</definedName>
    <definedName name="F.A.3B_End_Column_0">'F.A.3B Qualitative Assessment'!$J$8</definedName>
    <definedName name="F.A.3B_Start_Column_0">'F.A.3B Qualitative Assessment'!$D$8</definedName>
    <definedName name="FinancialMonth">#REF!</definedName>
    <definedName name="FinancialYear">#REF!</definedName>
    <definedName name="FORMULA_COLOR">#REF!</definedName>
    <definedName name="FORMULA_COLOR_SAMPLE">#REF!</definedName>
    <definedName name="INSURANCE_HEAD">#REF!</definedName>
    <definedName name="QDAP_Full_Columns">#REF!</definedName>
    <definedName name="QDAP_ON_OFF">#REF!</definedName>
    <definedName name="QDAP_WORKSHEETS">#REF!</definedName>
    <definedName name="ReportMonth">#REF!</definedName>
    <definedName name="ReportYearEndDate">#REF!</definedName>
    <definedName name="RULE_CAPG7A_C116">'CA.P.G.7A_NatCat_Own_Scope'!$C$116</definedName>
    <definedName name="RULE_CAPG7A_D120D123">'CA.P.G.7A_NatCat_Own_Scope'!$D$120:$D$123</definedName>
    <definedName name="RULE_CAPG7A_D125">'CA.P.G.7A_NatCat_Own_Scope'!$D$125</definedName>
    <definedName name="RULE_CAPG7E_C96">'CA.P.G.7E_NatCat_Own_YoYChange'!$C$96</definedName>
    <definedName name="RULE_CAPG7E_C97">'CA.P.G.7E_NatCat_Own_YoYChange'!$C$97</definedName>
    <definedName name="RULE_CAPLT2_I3014I3021">'CA.P.LT.2 HRG'!$I$3014:$I$3021</definedName>
    <definedName name="RULE_CAPLT2_J3014J3021">'CA.P.LT.2 HRG'!$J$3014:$J$3021</definedName>
    <definedName name="RULE_CAPLT3_J3014J3023">'CA.P.LT.3 Product'!$J$3014:$J$3023</definedName>
    <definedName name="RULE_CAPLT3_K3014K3023">'CA.P.LT.3 Product'!$K$3014:$K$3023</definedName>
    <definedName name="RULE_CAPLT4_G26">'CA.P.LT.4 HRGvsProduct'!$G$26</definedName>
    <definedName name="RULE_DATE_O18">'F.A.6A Port Inv of Port Inv'!$O$18:$O$24</definedName>
    <definedName name="RULE_DATE_S18">'F.A.6 Port Inv'!$S$18:$S$29</definedName>
    <definedName name="RULE_DATE_T18">'F.A.6 Port Inv'!$T$18:$T$29</definedName>
    <definedName name="RULE_F3_C35F35">'F.3 AOM'!$C$35:$F$35</definedName>
    <definedName name="RULE_F3_C36F36">'F.3 AOM'!$C$36:$F$36</definedName>
    <definedName name="RULE_F3_C38F38">'F.3 AOM'!$C$38:$F$38</definedName>
    <definedName name="RULE_F3_C39F39">'F.3 AOM'!$C$39:$F$39</definedName>
    <definedName name="RULE_F3_F35">'F.3 AOM'!$F$35</definedName>
    <definedName name="RULE_F3_F36">'F.3 AOM'!$F$36</definedName>
    <definedName name="RULE_FA4_G7576">'F.A.4 Derivatives'!$G$75:$G$76</definedName>
    <definedName name="RULE_FA4_S1160">'F.A.4 Derivatives'!$S$11:$S$60</definedName>
    <definedName name="RULE_FA4_T6569">'F.A.4 Derivatives'!$T$65:$T$69</definedName>
    <definedName name="RULE_FA4_U6569">'F.A.4 Derivatives'!$U$65:$U$69</definedName>
    <definedName name="RULE_FA6_AE29">'F.A.6 Port Inv'!$AE$29</definedName>
    <definedName name="RULE_FA6_H33">'F.A.6 Port Inv'!$H$33</definedName>
    <definedName name="RULE_FA6_H34">'F.A.6 Port Inv'!$H$34</definedName>
    <definedName name="RULE_FA6_H35">'F.A.6 Port Inv'!$H$35</definedName>
    <definedName name="RULE_FA6_I34">'F.A.6 Port Inv'!$I$34</definedName>
    <definedName name="RULE_FA6_I35">'F.A.6 Port Inv'!$I$35</definedName>
    <definedName name="RULE_FA6_M18M27">'F.A.6 Port Inv'!$M$18:$M$27</definedName>
    <definedName name="RULE_FA6_U29">'F.A.6 Port Inv'!$U$29</definedName>
    <definedName name="RULE_FA6_V29">'F.A.6 Port Inv'!$V$29</definedName>
    <definedName name="RULE_FA6_W29">'F.A.6 Port Inv'!$W$29</definedName>
    <definedName name="RULE_FA6_X29">'F.A.6 Port Inv'!$X$29</definedName>
    <definedName name="RULE_FA6_Y29">'F.A.6 Port Inv'!$Y$29</definedName>
    <definedName name="RULE_FA6A_G28">'F.A.6A Port Inv of Port Inv'!$G$28</definedName>
    <definedName name="RULE_FA6A_G29">'F.A.6A Port Inv of Port Inv'!$G$29</definedName>
    <definedName name="RULE_FA6A_G30">'F.A.6A Port Inv of Port Inv'!$G$30</definedName>
    <definedName name="RULE_FA6A_H30">'F.A.6A Port Inv of Port Inv'!$H$30</definedName>
    <definedName name="RULE_FA7_N1016">'F.A.7 Related Parties'!$N$10:$N$16</definedName>
    <definedName name="RULE_FA7_O1016">'F.A.7 Related Parties'!$O$10:$O$16</definedName>
    <definedName name="RULE_FT6_C85I85">'F.LT.6 Par Business'!$C$85:$I$85</definedName>
    <definedName name="RULE_FT6_C87I87">'F.LT.6 Par Business'!$C$87:$I$87</definedName>
    <definedName name="RULE_FT6_C90I90">'F.LT.6 Par Business'!$C$90:$I$90</definedName>
    <definedName name="RULE_FT6_D88I88">'F.LT.6 Par Business'!$D$88:$I$88</definedName>
    <definedName name="RULE_FT6_DI929598101">'F.LT.6 Par Business'!$D$92:$I$92,'F.LT.6 Par Business'!$D$95:$I$95,'F.LT.6 Par Business'!$D$98:$I$98,'F.LT.6 Par Business'!$D$101:$I$101</definedName>
    <definedName name="RULE_FT6_DI939699102">'F.LT.6 Par Business'!$D$93:$I$93,'F.LT.6 Par Business'!$D$96:$I$96,'F.LT.6 Par Business'!$D$99:$I$99,'F.LT.6 Par Business'!$D$102:$I$102</definedName>
    <definedName name="RULE36_source">'F.LT.3 TVOG'!$G$29</definedName>
    <definedName name="RULE36_target">'F.LT.3 TVOG'!$H$29</definedName>
    <definedName name="RULE37_source">'F.LT.3 TVOG'!$G$30</definedName>
    <definedName name="RULE37_Target">'F.LT.3 TVOG'!$H$30</definedName>
    <definedName name="RULE7475">'F.A.4 Derivatives'!$G$75:$G$76</definedName>
    <definedName name="RULEH29">'F.A.6A Port Inv of Port Inv'!$H$29</definedName>
    <definedName name="RULES60">'F.A.4 Derivatives'!$S$11:$S$60</definedName>
    <definedName name="sun">'CA.P.LT.4 HRGvsProduct'!$M$13</definedName>
    <definedName name="UNLOCK_COLOR">#REF!</definedName>
    <definedName name="UNLOCK_COLOR_SAMPLE">#REF!</definedName>
    <definedName name="UNLOCK_DATECOLOR">#REF!</definedName>
    <definedName name="UNLOCK_DateCOLOR_SAMPLE">#REF!</definedName>
    <definedName name="UNLOCK_TEXT_GREYCOLOR">#REF!</definedName>
    <definedName name="UNLOCK_TEXTCOLOR">#REF!</definedName>
    <definedName name="UNLOCK_TextCOLOR_SAMPLE">#REF!</definedName>
    <definedName name="UNLOCK_TITLE_COLOR">#REF!</definedName>
    <definedName name="UNLOCK_TITLE_TEXTCOLOR">#REF!</definedName>
    <definedName name="VALIDATION_RULE_FORM_EMPTY">'F.2 EBS by LT Portfolios'!$E$13:$O$13</definedName>
    <definedName name="ValuationDay">#REF!</definedName>
    <definedName name="ValuationYear">#REF!</definedName>
    <definedName name="year_end">#REF!</definedName>
    <definedName name="CA.R.2_Features_of_instruments_SUM" localSheetId="0">'CA.R.2 Features of instruments'!$E$15:$T$15,'CA.R.2 Features of instruments'!$E$17:$T$17,'CA.R.2 Features of instruments'!$E$21:$T$21</definedName>
    <definedName name="F.A.4_Derivatives_checksum" localSheetId="0">'F.A.4 Derivatives'!$E$11:$Q$60,'F.A.4 Derivatives'!$J$64:$M$68,'F.A.4 Derivatives'!#REF!,'F.A.4 Derivatives'!$M$70</definedName>
    <definedName name="F.A.6_Port_Inv_sum" localSheetId="0">'F.A.6 Port Inv'!$B$18:$B$28,'F.A.6 Port Inv'!$J$18:$J$28,'F.A.6 Port Inv'!$K$18:$K$29,'F.A.6 Port Inv'!$L$18:$L$28,'F.A.6 Port Inv'!$N$18:$N$29,'F.A.6 Port Inv'!$P$18:$AG$29</definedName>
    <definedName name="F.A.6A_Port_Inv_of_Port_Inv_SUM" localSheetId="0">'F.A.6A Port Inv of Port Inv'!$B$18:$B$22,'F.A.6A Port Inv of Port Inv'!$B$18:$AB$25</definedName>
    <definedName name="RULE_FT6_DI929598101" localSheetId="0">'F.LT.6 Par Business'!$D$92:$I$92,'F.LT.6 Par Business'!$D$95:$I$95,'F.LT.6 Par Business'!$D$98:$I$98,'F.LT.6 Par Business'!$D$101:$I$101</definedName>
    <definedName name="RULE_FT6_DI939699102" localSheetId="0">'F.LT.6 Par Business'!$D$93:$I$93,'F.LT.6 Par Business'!$D$96:$I$96,'F.LT.6 Par Business'!$D$99:$I$99,'F.LT.6 Par Business'!$D$102:$I$102</definedName>
    <definedName name="_xlnm.Print_Area" localSheetId="0">'F.1 EBS'!$A$1:$AJ$156</definedName>
    <definedName name="CA.R.2_Features_of_instruments_SUM" localSheetId="1">'CA.R.2 Features of instruments'!$E$15:$T$15,'CA.R.2 Features of instruments'!$E$17:$T$17,'CA.R.2 Features of instruments'!$E$21:$T$21</definedName>
    <definedName name="F.A.4_Derivatives_checksum" localSheetId="1">'F.A.4 Derivatives'!$E$11:$Q$60,'F.A.4 Derivatives'!$J$64:$M$68,'F.A.4 Derivatives'!#REF!,'F.A.4 Derivatives'!$M$70</definedName>
    <definedName name="F.A.6_Port_Inv_sum" localSheetId="1">'F.A.6 Port Inv'!$B$18:$B$28,'F.A.6 Port Inv'!$J$18:$J$28,'F.A.6 Port Inv'!$K$18:$K$29,'F.A.6 Port Inv'!$L$18:$L$28,'F.A.6 Port Inv'!$N$18:$N$29,'F.A.6 Port Inv'!$P$18:$AG$29</definedName>
    <definedName name="F.A.6A_Port_Inv_of_Port_Inv_SUM" localSheetId="1">'F.A.6A Port Inv of Port Inv'!$B$18:$B$22,'F.A.6A Port Inv of Port Inv'!$B$18:$AB$25</definedName>
    <definedName name="RULE_FT6_DI929598101" localSheetId="1">'F.LT.6 Par Business'!$D$92:$I$92,'F.LT.6 Par Business'!$D$95:$I$95,'F.LT.6 Par Business'!$D$98:$I$98,'F.LT.6 Par Business'!$D$101:$I$101</definedName>
    <definedName name="RULE_FT6_DI939699102" localSheetId="1">'F.LT.6 Par Business'!$D$93:$I$93,'F.LT.6 Par Business'!$D$96:$I$96,'F.LT.6 Par Business'!$D$99:$I$99,'F.LT.6 Par Business'!$D$102:$I$102</definedName>
    <definedName name="_xlnm.Print_Area" localSheetId="1">'F.LT.1.1 LT CE Summary'!$A$1:$L$67</definedName>
    <definedName name="CA.R.2_Features_of_instruments_SUM" localSheetId="2">'CA.R.2 Features of instruments'!$E$15:$T$15,'CA.R.2 Features of instruments'!$E$17:$T$17,'CA.R.2 Features of instruments'!$E$21:$T$21</definedName>
    <definedName name="F.A.4_Derivatives_checksum" localSheetId="2">'F.A.4 Derivatives'!$E$11:$Q$60,'F.A.4 Derivatives'!$J$64:$M$68,'F.A.4 Derivatives'!#REF!,'F.A.4 Derivatives'!$M$70</definedName>
    <definedName name="F.A.6_Port_Inv_sum" localSheetId="2">'F.A.6 Port Inv'!$B$18:$B$28,'F.A.6 Port Inv'!$J$18:$J$28,'F.A.6 Port Inv'!$K$18:$K$29,'F.A.6 Port Inv'!$L$18:$L$28,'F.A.6 Port Inv'!$N$18:$N$29,'F.A.6 Port Inv'!$P$18:$AG$29</definedName>
    <definedName name="F.A.6A_Port_Inv_of_Port_Inv_SUM" localSheetId="2">'F.A.6A Port Inv of Port Inv'!$B$18:$B$22,'F.A.6A Port Inv of Port Inv'!$B$18:$AB$25</definedName>
    <definedName name="RULE_FT6_DI929598101" localSheetId="2">'F.LT.6 Par Business'!$D$92:$I$92,'F.LT.6 Par Business'!$D$95:$I$95,'F.LT.6 Par Business'!$D$98:$I$98,'F.LT.6 Par Business'!$D$101:$I$101</definedName>
    <definedName name="RULE_FT6_DI939699102" localSheetId="2">'F.LT.6 Par Business'!$D$93:$I$93,'F.LT.6 Par Business'!$D$96:$I$96,'F.LT.6 Par Business'!$D$99:$I$99,'F.LT.6 Par Business'!$D$102:$I$102</definedName>
    <definedName name="_xlnm.Print_Area" localSheetId="2">'CA.1 CA Summary'!$A$1:$G$53</definedName>
  </definedNames>
  <calcPr calcId="191029" fullCalcOnLoad="1"/>
</workbook>
</file>

<file path=xl/styles.xml><?xml version="1.0" encoding="utf-8"?>
<styleSheet xmlns="http://schemas.openxmlformats.org/spreadsheetml/2006/main">
  <numFmts count="29">
    <numFmt numFmtId="164" formatCode="[$-13C09]d/m/yyyy;@"/>
    <numFmt numFmtId="165" formatCode="_(* #,##0_);_(* \(#,##0\);_(* &quot;-&quot;_)"/>
    <numFmt numFmtId="166" formatCode="_(* #,##0_);[Red]_(* \(#,##0\);_(* &quot;-&quot;??_);"/>
    <numFmt numFmtId="167" formatCode="_-* #,##0.00_-;\-* #,##0.00_-;_-* &quot;-&quot;??_-;_-@_-"/>
    <numFmt numFmtId="168" formatCode="_(* #,##0_);_(* \(#,##0\);_(* &quot;-&quot;??_);_(@_)"/>
    <numFmt numFmtId="169" formatCode="#,##0;[Red]\(#,##0\)"/>
    <numFmt numFmtId="170" formatCode="0_);[Red]\(0\)"/>
    <numFmt numFmtId="171" formatCode="dd\ mmm\ yyyy"/>
    <numFmt numFmtId="172" formatCode="0.00%_);\(0.00%\)"/>
    <numFmt numFmtId="173" formatCode="#,##0;\-#,##0;\-"/>
    <numFmt numFmtId="174" formatCode="0.0%"/>
    <numFmt numFmtId="175" formatCode="_(* #,##0.0000_);_(* \(#,##0.0000\);_(* &quot;-&quot;??_);_(@_)"/>
    <numFmt numFmtId="176" formatCode="0.0"/>
    <numFmt numFmtId="177" formatCode="#,##0.0"/>
    <numFmt numFmtId="178" formatCode="0.000%"/>
    <numFmt numFmtId="179" formatCode="0.0000%"/>
    <numFmt numFmtId="180" formatCode="0.00000000000000000%"/>
    <numFmt numFmtId="181" formatCode="0.0%_);\(0.0%\)"/>
    <numFmt numFmtId="182" formatCode="0%_);\(0%\)"/>
    <numFmt numFmtId="183" formatCode="_ * #,##0.00_ ;_ * \-#,##0.00_ ;_ * &quot;-&quot;??_ ;_ @_ "/>
    <numFmt numFmtId="184" formatCode="_(* #,##0.000_);_(* \(#,##0.000\);_(* &quot;-&quot;??_);_(@_)"/>
    <numFmt numFmtId="185" formatCode="#,##0.00%;[Red]\(#,##0.00\)%"/>
    <numFmt numFmtId="186" formatCode="#,##0%;[Red]\(#,##0\)%"/>
    <numFmt numFmtId="187" formatCode="0%_);[Red]\(0%\);&quot;-&quot;_)"/>
    <numFmt numFmtId="188" formatCode="_-* #,##0_-;\-* #,##0_-;_-* &quot;-&quot;_-;_-@_-"/>
    <numFmt numFmtId="189" formatCode="0%_);[Red]\(0%\)"/>
    <numFmt numFmtId="190" formatCode="#,##0.0;[Red]\(#,##0.0\)"/>
    <numFmt numFmtId="191" formatCode="yyyy\-mm\-dd;@"/>
    <numFmt numFmtId="192" formatCode="0.000"/>
  </numFmts>
  <fonts count="8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Segoe UI"/>
      <family val="2"/>
      <color theme="1"/>
      <sz val="10"/>
    </font>
    <font>
      <name val="Times New Roman"/>
      <family val="1"/>
      <b val="1"/>
      <color theme="1"/>
      <sz val="14"/>
    </font>
    <font>
      <name val="Segoe UI"/>
      <family val="2"/>
      <color rgb="FF707070"/>
      <sz val="10"/>
    </font>
    <font>
      <name val="新細明體"/>
      <charset val="136"/>
      <family val="1"/>
      <sz val="12"/>
    </font>
    <font>
      <name val="Times New Roman"/>
      <family val="1"/>
      <sz val="12"/>
    </font>
    <font>
      <name val="Segoe UI Semibold"/>
      <family val="2"/>
      <color rgb="FF59730B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Aptos Narrow"/>
      <family val="2"/>
      <color theme="10"/>
      <sz val="11"/>
      <u val="single"/>
      <scheme val="minor"/>
    </font>
    <font>
      <name val="Aptos Narrow"/>
      <charset val="134"/>
      <family val="3"/>
      <color theme="1"/>
      <sz val="11"/>
      <scheme val="minor"/>
    </font>
    <font>
      <name val="Aptos Narrow"/>
      <charset val="136"/>
      <family val="2"/>
      <color rgb="FFFF0000"/>
      <sz val="12"/>
      <scheme val="minor"/>
    </font>
    <font>
      <name val="Aptos Narrow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sz val="9"/>
    </font>
    <font>
      <name val="Aptos Narrow"/>
      <family val="2"/>
      <color indexed="8"/>
      <sz val="11"/>
      <scheme val="minor"/>
    </font>
    <font>
      <name val="宋体"/>
      <charset val="134"/>
      <family val="3"/>
      <sz val="11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color theme="1"/>
      <sz val="8"/>
    </font>
    <font>
      <name val="Arial"/>
      <family val="2"/>
      <b val="1"/>
      <i val="1"/>
      <color theme="1"/>
      <sz val="10"/>
    </font>
    <font>
      <name val="Arial"/>
      <family val="2"/>
      <color theme="9"/>
      <sz val="10"/>
    </font>
    <font>
      <name val="Times New Roman"/>
      <family val="1"/>
      <color theme="1"/>
      <sz val="11"/>
    </font>
    <font>
      <name val="Arial"/>
      <family val="2"/>
      <b val="1"/>
      <color theme="0"/>
      <sz val="10"/>
    </font>
    <font>
      <name val="Arial"/>
      <family val="2"/>
      <color rgb="FFFFFFFF"/>
      <sz val="10"/>
    </font>
    <font>
      <name val="Arial"/>
      <family val="2"/>
      <color rgb="FFBFBFBF"/>
      <sz val="10"/>
    </font>
    <font>
      <name val="Arial"/>
      <family val="2"/>
      <b val="1"/>
      <i val="1"/>
      <sz val="10"/>
    </font>
    <font>
      <name val="Arial"/>
      <family val="2"/>
      <color theme="1"/>
      <sz val="10"/>
      <vertAlign val="superscript"/>
    </font>
    <font>
      <name val="Arial"/>
      <family val="2"/>
      <i val="1"/>
      <color theme="1"/>
      <sz val="10"/>
    </font>
    <font>
      <name val="Arial"/>
      <family val="2"/>
      <strike val="1"/>
      <color theme="9"/>
      <sz val="10"/>
    </font>
    <font>
      <name val="Arial"/>
      <family val="2"/>
      <color theme="0" tint="-0.249977111117893"/>
      <sz val="10"/>
    </font>
    <font>
      <name val="Arial"/>
      <family val="2"/>
      <color theme="8"/>
      <sz val="10"/>
    </font>
    <font>
      <name val="Arial"/>
      <family val="2"/>
      <color theme="0"/>
      <sz val="10"/>
    </font>
    <font>
      <name val="Arial"/>
      <charset val="134"/>
      <family val="2"/>
      <color theme="1"/>
      <sz val="10"/>
    </font>
    <font>
      <name val="Arial"/>
      <family val="2"/>
      <b val="1"/>
      <color theme="0" tint="-0.249977111117893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strike val="1"/>
      <sz val="10"/>
    </font>
    <font>
      <name val="Arial"/>
      <family val="2"/>
      <sz val="10"/>
      <u val="single"/>
    </font>
    <font>
      <name val="Arial"/>
      <family val="2"/>
      <i val="1"/>
      <sz val="10"/>
      <u val="single"/>
    </font>
    <font>
      <name val="Arial"/>
      <family val="2"/>
      <i val="1"/>
      <sz val="10"/>
    </font>
    <font>
      <name val="Arial"/>
      <family val="2"/>
      <b val="1"/>
      <sz val="10"/>
      <u val="single"/>
    </font>
    <font>
      <name val="Arial"/>
      <family val="2"/>
      <color theme="2" tint="-0.09997863704336681"/>
      <sz val="10"/>
    </font>
    <font>
      <name val="新細明體"/>
      <charset val="136"/>
      <family val="1"/>
      <color theme="10"/>
      <sz val="12"/>
      <u val="single"/>
    </font>
    <font>
      <name val="Arial"/>
      <family val="2"/>
      <color theme="10"/>
      <sz val="10"/>
      <u val="single"/>
    </font>
    <font>
      <name val="Arial"/>
      <family val="2"/>
      <b val="1"/>
      <color indexed="9"/>
      <sz val="10"/>
    </font>
    <font>
      <name val="Arial"/>
      <family val="2"/>
      <i val="1"/>
      <color rgb="FFC00000"/>
      <sz val="10"/>
    </font>
    <font>
      <name val="Arial"/>
      <family val="2"/>
      <i val="1"/>
      <strike val="1"/>
      <color rgb="FFC00000"/>
      <sz val="10"/>
    </font>
    <font>
      <name val="Arial"/>
      <family val="2"/>
      <color theme="1"/>
      <sz val="10"/>
      <u val="single"/>
    </font>
    <font>
      <name val="Arial"/>
      <family val="2"/>
      <color rgb="FF3A3A3A"/>
      <sz val="10"/>
    </font>
    <font>
      <name val="Arial"/>
      <family val="2"/>
      <b val="1"/>
      <color theme="9"/>
      <sz val="10"/>
    </font>
    <font>
      <name val="Arial"/>
      <family val="2"/>
      <b val="1"/>
      <color theme="0"/>
      <sz val="10"/>
      <u val="single"/>
    </font>
    <font>
      <name val="Arial"/>
      <family val="2"/>
      <b val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11"/>
    </font>
    <font>
      <name val="Arial"/>
      <family val="2"/>
      <i val="1"/>
      <color rgb="FFFF0000"/>
      <sz val="10"/>
    </font>
    <font>
      <name val="Arial"/>
      <family val="2"/>
      <b val="1"/>
      <color rgb="FF000000"/>
      <sz val="10"/>
      <vertAlign val="superscript"/>
    </font>
    <font>
      <name val="Arial"/>
      <family val="2"/>
      <i val="1"/>
      <color theme="0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color indexed="8"/>
      <sz val="10"/>
    </font>
    <font>
      <name val="Arial"/>
      <family val="2"/>
      <color theme="6" tint="0.3999755851924192"/>
      <sz val="10"/>
    </font>
    <font>
      <name val="Arial"/>
      <family val="2"/>
      <color theme="0" tint="-0.1499984740745262"/>
      <sz val="10"/>
    </font>
    <font>
      <name val="Arial"/>
      <family val="2"/>
      <color rgb="FF0070C0"/>
      <sz val="10"/>
    </font>
    <font>
      <name val="Arial"/>
      <family val="2"/>
      <b val="1"/>
      <color theme="0" tint="-0.1499984740745262"/>
      <sz val="10"/>
    </font>
    <font>
      <name val="Arial"/>
      <family val="2"/>
      <color theme="2" tint="-0.249977111117893"/>
      <sz val="10"/>
    </font>
    <font>
      <name val="Arial"/>
      <family val="2"/>
      <color rgb="FF0070C0"/>
      <sz val="10"/>
      <u val="single"/>
    </font>
    <font>
      <name val="Arial"/>
      <family val="2"/>
      <color theme="0" tint="-0.3499862666707358"/>
      <sz val="10"/>
    </font>
    <font>
      <name val="Arial"/>
      <family val="2"/>
      <b val="1"/>
      <color theme="0" tint="-0.3499862666707358"/>
      <sz val="10"/>
    </font>
    <font>
      <name val="Arial"/>
      <family val="2"/>
      <color rgb="FF7030A0"/>
      <sz val="10"/>
    </font>
    <font>
      <name val="Arial"/>
      <family val="2"/>
      <b val="1"/>
      <color theme="10"/>
      <sz val="10"/>
      <u val="single"/>
    </font>
    <font>
      <name val="Arial"/>
      <family val="2"/>
      <b val="1"/>
      <strike val="1"/>
      <color rgb="FFFF0000"/>
      <sz val="10"/>
    </font>
    <font>
      <name val="Arial"/>
      <family val="2"/>
      <b val="1"/>
      <strike val="1"/>
      <sz val="10"/>
    </font>
    <font>
      <name val="Arial"/>
      <family val="2"/>
      <b val="1"/>
      <strike val="1"/>
      <color theme="0"/>
      <sz val="10"/>
    </font>
    <font>
      <name val="Times New Roman"/>
      <family val="1"/>
      <b val="1"/>
      <color theme="0"/>
      <sz val="14"/>
    </font>
    <font>
      <name val="Calibri"/>
      <family val="2"/>
      <color rgb="FF000000"/>
      <sz val="11"/>
    </font>
  </fonts>
  <fills count="2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B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4590B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2" tint="-0.0999481185338908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EA9DB"/>
        <bgColor rgb="FF000000"/>
      </patternFill>
    </fill>
  </fills>
  <borders count="61">
    <border>
      <left/>
      <right/>
      <top/>
      <bottom/>
      <diagonal/>
    </border>
    <border>
      <left style="medium">
        <color rgb="FFDCDCDC"/>
      </left>
      <right/>
      <top style="medium">
        <color rgb="FFDCDCDC"/>
      </top>
      <bottom style="medium">
        <color rgb="FFDCDCDC"/>
      </bottom>
      <diagonal/>
    </border>
    <border>
      <left/>
      <right/>
      <top style="medium">
        <color rgb="FFDCDCDC"/>
      </top>
      <bottom style="medium">
        <color rgb="FFDCDCDC"/>
      </bottom>
      <diagonal/>
    </border>
    <border>
      <left/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medium">
        <color rgb="FFDCDCDC"/>
      </left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rgb="FFBFBFB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9DC81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rgb="FFDCDCDC"/>
      </top>
      <bottom/>
      <diagonal/>
    </border>
    <border>
      <left/>
      <right style="medium">
        <color rgb="FFDCDCDC"/>
      </right>
      <top style="medium">
        <color rgb="FFDCDCDC"/>
      </top>
      <bottom/>
      <diagonal/>
    </border>
  </borders>
  <cellStyleXfs count="50">
    <xf numFmtId="0" fontId="1" fillId="0" borderId="0"/>
    <xf numFmtId="9" fontId="1" fillId="0" borderId="0"/>
    <xf numFmtId="0" fontId="6" fillId="0" borderId="0" applyAlignment="1">
      <alignment vertical="center"/>
    </xf>
    <xf numFmtId="167" fontId="1" fillId="0" borderId="0"/>
    <xf numFmtId="167" fontId="1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7" fillId="0" borderId="0"/>
    <xf numFmtId="0" fontId="21" fillId="15" borderId="0" applyAlignment="1" applyProtection="1">
      <alignment horizontal="right"/>
      <protection locked="0" hidden="0"/>
    </xf>
    <xf numFmtId="0" fontId="1" fillId="0" borderId="0"/>
    <xf numFmtId="0" fontId="1" fillId="0" borderId="0"/>
    <xf numFmtId="0" fontId="22" fillId="0" borderId="0"/>
    <xf numFmtId="0" fontId="13" fillId="16" borderId="0"/>
    <xf numFmtId="167" fontId="6" fillId="0" borderId="0"/>
    <xf numFmtId="174" fontId="27" fillId="17" borderId="10" applyAlignment="1">
      <alignment vertical="center"/>
    </xf>
    <xf numFmtId="0" fontId="1" fillId="0" borderId="0"/>
    <xf numFmtId="167" fontId="1" fillId="0" borderId="0"/>
    <xf numFmtId="3" fontId="21" fillId="19" borderId="13" applyAlignment="1" applyProtection="1">
      <alignment vertical="center"/>
      <protection locked="0" hidden="0"/>
    </xf>
    <xf numFmtId="0" fontId="6" fillId="0" borderId="0"/>
    <xf numFmtId="0" fontId="13" fillId="0" borderId="0"/>
    <xf numFmtId="0" fontId="41" fillId="0" borderId="0" applyAlignment="1">
      <alignment vertical="center"/>
    </xf>
    <xf numFmtId="3" fontId="21" fillId="19" borderId="13" applyAlignment="1" applyProtection="1">
      <alignment vertical="center"/>
      <protection locked="0" hidden="0"/>
    </xf>
    <xf numFmtId="0" fontId="1" fillId="0" borderId="0"/>
    <xf numFmtId="0" fontId="1" fillId="0" borderId="0"/>
    <xf numFmtId="0" fontId="20" fillId="0" borderId="0"/>
    <xf numFmtId="0" fontId="52" fillId="0" borderId="0"/>
    <xf numFmtId="9" fontId="20" fillId="0" borderId="0"/>
    <xf numFmtId="167" fontId="20" fillId="0" borderId="0"/>
    <xf numFmtId="0" fontId="13" fillId="0" borderId="0"/>
    <xf numFmtId="0" fontId="19" fillId="0" borderId="0" applyAlignment="1">
      <alignment vertical="center"/>
    </xf>
    <xf numFmtId="183" fontId="1" fillId="0" borderId="0" applyAlignment="1">
      <alignment vertical="center"/>
    </xf>
    <xf numFmtId="167" fontId="1" fillId="0" borderId="0"/>
    <xf numFmtId="167" fontId="1" fillId="0" borderId="0"/>
    <xf numFmtId="0" fontId="63" fillId="26" borderId="13" applyAlignment="1">
      <alignment horizontal="left" indent="1"/>
    </xf>
    <xf numFmtId="0" fontId="6" fillId="0" borderId="0"/>
    <xf numFmtId="167" fontId="6" fillId="0" borderId="0"/>
    <xf numFmtId="9" fontId="6" fillId="0" borderId="0"/>
    <xf numFmtId="0" fontId="52" fillId="0" borderId="0"/>
    <xf numFmtId="0" fontId="13" fillId="16" borderId="7" applyAlignment="1">
      <alignment horizontal="center" wrapText="1"/>
    </xf>
    <xf numFmtId="9" fontId="6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83" fillId="0" borderId="0"/>
  </cellStyleXfs>
  <cellXfs count="2928">
    <xf numFmtId="0" fontId="0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pivotButton="0" quotePrefix="0" xfId="0"/>
    <xf numFmtId="0" fontId="7" fillId="2" borderId="0" applyAlignment="1" pivotButton="0" quotePrefix="0" xfId="2">
      <alignment vertical="center"/>
    </xf>
    <xf numFmtId="0" fontId="5" fillId="2" borderId="4" pivotButton="0" quotePrefix="0" xfId="3"/>
    <xf numFmtId="0" fontId="5" fillId="2" borderId="0" pivotButton="0" quotePrefix="0" xfId="3"/>
    <xf numFmtId="0" fontId="8" fillId="2" borderId="0" applyAlignment="1" pivotButton="0" quotePrefix="0" xfId="0">
      <alignment horizontal="left"/>
    </xf>
    <xf numFmtId="0" fontId="7" fillId="2" borderId="0" applyAlignment="1" pivotButton="0" quotePrefix="0" xfId="2">
      <alignment horizontal="center" vertical="center"/>
    </xf>
    <xf numFmtId="0" fontId="9" fillId="2" borderId="0" pivotButton="0" quotePrefix="0" xfId="3"/>
    <xf numFmtId="0" fontId="5" fillId="2" borderId="5" applyProtection="1" pivotButton="0" quotePrefix="0" xfId="4">
      <protection locked="0" hidden="0"/>
    </xf>
    <xf numFmtId="164" fontId="10" fillId="2" borderId="0" pivotButton="0" quotePrefix="0" xfId="3"/>
    <xf numFmtId="164" fontId="8" fillId="2" borderId="0" applyAlignment="1" pivotButton="0" quotePrefix="0" xfId="3">
      <alignment horizontal="right"/>
    </xf>
    <xf numFmtId="49" fontId="5" fillId="2" borderId="5" applyProtection="1" pivotButton="0" quotePrefix="0" xfId="3">
      <protection locked="0" hidden="0"/>
    </xf>
    <xf numFmtId="0" fontId="11" fillId="2" borderId="0" applyProtection="1" pivotButton="0" quotePrefix="0" xfId="3">
      <protection locked="1" hidden="1"/>
    </xf>
    <xf numFmtId="0" fontId="12" fillId="2" borderId="0" applyProtection="1" pivotButton="0" quotePrefix="0" xfId="3">
      <protection locked="1" hidden="1"/>
    </xf>
    <xf numFmtId="14" fontId="2" fillId="2" borderId="0" applyProtection="1" pivotButton="0" quotePrefix="0" xfId="0">
      <protection locked="1" hidden="1"/>
    </xf>
    <xf numFmtId="0" fontId="2" fillId="2" borderId="0" applyProtection="1" pivotButton="0" quotePrefix="0" xfId="0">
      <protection locked="1" hidden="1"/>
    </xf>
    <xf numFmtId="0" fontId="2" fillId="0" borderId="0" pivotButton="0" quotePrefix="0" xfId="0"/>
    <xf numFmtId="0" fontId="14" fillId="2" borderId="0" applyAlignment="1" pivotButton="0" quotePrefix="0" xfId="5">
      <alignment vertical="top"/>
    </xf>
    <xf numFmtId="0" fontId="2" fillId="2" borderId="0" pivotButton="0" quotePrefix="0" xfId="0"/>
    <xf numFmtId="0" fontId="15" fillId="2" borderId="0" applyAlignment="1" pivotButton="0" quotePrefix="0" xfId="5">
      <alignment horizontal="center" vertical="top"/>
    </xf>
    <xf numFmtId="0" fontId="13" fillId="0" borderId="7" applyAlignment="1" pivotButton="0" quotePrefix="0" xfId="0">
      <alignment vertical="center" wrapText="1"/>
    </xf>
    <xf numFmtId="0" fontId="20" fillId="2" borderId="0" pivotButton="0" quotePrefix="0" xfId="0"/>
    <xf numFmtId="0" fontId="20" fillId="12" borderId="0" pivotButton="0" quotePrefix="0" xfId="0"/>
    <xf numFmtId="0" fontId="20" fillId="0" borderId="0" pivotButton="0" quotePrefix="0" xfId="0"/>
    <xf numFmtId="0" fontId="13" fillId="0" borderId="0" pivotButton="0" quotePrefix="0" xfId="0"/>
    <xf numFmtId="3" fontId="13" fillId="0" borderId="0" applyAlignment="1" pivotButton="0" quotePrefix="0" xfId="13">
      <alignment horizontal="right"/>
    </xf>
    <xf numFmtId="3" fontId="25" fillId="0" borderId="0" applyAlignment="1" pivotButton="0" quotePrefix="0" xfId="13">
      <alignment horizontal="right"/>
    </xf>
    <xf numFmtId="0" fontId="13" fillId="4" borderId="7" applyAlignment="1" applyProtection="1" pivotButton="0" quotePrefix="0" xfId="17">
      <alignment horizontal="left" vertical="center" wrapText="1"/>
      <protection locked="0" hidden="0"/>
    </xf>
    <xf numFmtId="3" fontId="13" fillId="4" borderId="7" applyAlignment="1" applyProtection="1" pivotButton="0" quotePrefix="0" xfId="17">
      <alignment horizontal="left" vertical="center" wrapText="1"/>
      <protection locked="0" hidden="0"/>
    </xf>
    <xf numFmtId="3" fontId="13" fillId="0" borderId="0" applyAlignment="1" pivotButton="0" quotePrefix="0" xfId="13">
      <alignment horizontal="right" vertical="center"/>
    </xf>
    <xf numFmtId="165" fontId="13" fillId="5" borderId="7" applyAlignment="1" pivotButton="0" quotePrefix="0" xfId="13">
      <alignment horizontal="center" vertical="center"/>
    </xf>
    <xf numFmtId="165" fontId="13" fillId="7" borderId="7" applyAlignment="1" applyProtection="1" pivotButton="0" quotePrefix="0" xfId="18">
      <alignment horizontal="center" vertical="center" wrapText="1"/>
      <protection locked="0" hidden="0"/>
    </xf>
    <xf numFmtId="165" fontId="13" fillId="15" borderId="7" applyAlignment="1" pivotButton="0" quotePrefix="0" xfId="13">
      <alignment horizontal="center" vertical="center"/>
    </xf>
    <xf numFmtId="0" fontId="13" fillId="3" borderId="0" applyAlignment="1" pivotButton="0" quotePrefix="0" xfId="13">
      <alignment horizontal="right"/>
    </xf>
    <xf numFmtId="0" fontId="13" fillId="3" borderId="0" applyAlignment="1" pivotButton="0" quotePrefix="0" xfId="18">
      <alignment horizontal="center" vertical="center" wrapText="1"/>
    </xf>
    <xf numFmtId="0" fontId="13" fillId="3" borderId="0" applyAlignment="1" pivotButton="0" quotePrefix="0" xfId="13">
      <alignment horizontal="center" vertical="center"/>
    </xf>
    <xf numFmtId="38" fontId="13" fillId="0" borderId="0" applyAlignment="1" pivotButton="0" quotePrefix="0" xfId="18">
      <alignment horizontal="center" vertical="center" wrapText="1"/>
    </xf>
    <xf numFmtId="38" fontId="13" fillId="0" borderId="0" applyAlignment="1" pivotButton="0" quotePrefix="0" xfId="13">
      <alignment horizontal="center" vertical="center"/>
    </xf>
    <xf numFmtId="0" fontId="2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20" fillId="0" borderId="0" pivotButton="0" quotePrefix="0" xfId="20"/>
    <xf numFmtId="0" fontId="20" fillId="4" borderId="27" applyAlignment="1" applyProtection="1" pivotButton="0" quotePrefix="0" xfId="0">
      <alignment horizontal="center" wrapText="1"/>
      <protection locked="0" hidden="0"/>
    </xf>
    <xf numFmtId="0" fontId="20" fillId="0" borderId="0" applyAlignment="1" pivotButton="0" quotePrefix="0" xfId="0">
      <alignment horizontal="center" vertical="center" wrapText="1"/>
    </xf>
    <xf numFmtId="0" fontId="13" fillId="2" borderId="33" applyAlignment="1" pivotButton="0" quotePrefix="0" xfId="13">
      <alignment horizontal="center" vertical="center" wrapText="1"/>
    </xf>
    <xf numFmtId="165" fontId="13" fillId="0" borderId="43" applyAlignment="1" pivotButton="0" quotePrefix="0" xfId="21">
      <alignment horizontal="left" vertical="center"/>
    </xf>
    <xf numFmtId="166" fontId="13" fillId="15" borderId="42" applyAlignment="1" pivotButton="0" quotePrefix="0" xfId="13">
      <alignment horizontal="right"/>
    </xf>
    <xf numFmtId="166" fontId="13" fillId="18" borderId="41" applyAlignment="1" pivotButton="0" quotePrefix="0" xfId="13">
      <alignment horizontal="right"/>
    </xf>
    <xf numFmtId="166" fontId="13" fillId="0" borderId="0" applyAlignment="1" pivotButton="0" quotePrefix="0" xfId="13">
      <alignment horizontal="right"/>
    </xf>
    <xf numFmtId="166" fontId="13" fillId="18" borderId="40" applyAlignment="1" pivotButton="0" quotePrefix="0" xfId="13">
      <alignment horizontal="right"/>
    </xf>
    <xf numFmtId="165" fontId="13" fillId="0" borderId="44" applyAlignment="1" pivotButton="0" quotePrefix="0" xfId="21">
      <alignment horizontal="left" vertical="center"/>
    </xf>
    <xf numFmtId="166" fontId="13" fillId="15" borderId="40" applyAlignment="1" pivotButton="0" quotePrefix="0" xfId="13">
      <alignment horizontal="right"/>
    </xf>
    <xf numFmtId="166" fontId="13" fillId="15" borderId="41" applyAlignment="1" pivotButton="0" quotePrefix="0" xfId="13">
      <alignment horizontal="right"/>
    </xf>
    <xf numFmtId="165" fontId="13" fillId="0" borderId="45" applyAlignment="1" pivotButton="0" quotePrefix="0" xfId="21">
      <alignment horizontal="left" vertical="center"/>
    </xf>
    <xf numFmtId="166" fontId="13" fillId="15" borderId="33" applyAlignment="1" pivotButton="0" quotePrefix="0" xfId="13">
      <alignment horizontal="right"/>
    </xf>
    <xf numFmtId="166" fontId="13" fillId="5" borderId="41" applyAlignment="1" pivotButton="0" quotePrefix="0" xfId="13">
      <alignment horizontal="right"/>
    </xf>
    <xf numFmtId="166" fontId="13" fillId="0" borderId="0" applyAlignment="1" pivotButton="0" quotePrefix="0" xfId="22">
      <alignment vertical="center" wrapText="1"/>
    </xf>
    <xf numFmtId="166" fontId="13" fillId="18" borderId="41" applyAlignment="1" pivotButton="0" quotePrefix="0" xfId="22">
      <alignment vertical="center" wrapText="1"/>
    </xf>
    <xf numFmtId="165" fontId="25" fillId="0" borderId="37" applyAlignment="1" pivotButton="0" quotePrefix="0" xfId="21">
      <alignment horizontal="left" vertical="center"/>
    </xf>
    <xf numFmtId="165" fontId="13" fillId="5" borderId="33" applyAlignment="1" pivotButton="0" quotePrefix="0" xfId="21">
      <alignment horizontal="right" vertical="center"/>
    </xf>
    <xf numFmtId="166" fontId="13" fillId="0" borderId="0" applyAlignment="1" pivotButton="0" quotePrefix="0" xfId="22">
      <alignment horizontal="right"/>
    </xf>
    <xf numFmtId="166" fontId="13" fillId="18" borderId="40" applyAlignment="1" pivotButton="0" quotePrefix="0" xfId="22">
      <alignment horizontal="right" wrapText="1"/>
    </xf>
    <xf numFmtId="0" fontId="29" fillId="0" borderId="0" pivotButton="0" quotePrefix="0" xfId="0"/>
    <xf numFmtId="166" fontId="13" fillId="0" borderId="41" applyAlignment="1" pivotButton="0" quotePrefix="0" xfId="22">
      <alignment horizontal="right"/>
    </xf>
    <xf numFmtId="166" fontId="13" fillId="0" borderId="40" applyAlignment="1" pivotButton="0" quotePrefix="0" xfId="22">
      <alignment horizontal="right"/>
    </xf>
    <xf numFmtId="166" fontId="13" fillId="2" borderId="40" applyAlignment="1" pivotButton="0" quotePrefix="0" xfId="13">
      <alignment horizontal="right"/>
    </xf>
    <xf numFmtId="166" fontId="13" fillId="3" borderId="41" applyAlignment="1" pivotButton="0" quotePrefix="0" xfId="22">
      <alignment vertical="center" wrapText="1"/>
    </xf>
    <xf numFmtId="166" fontId="13" fillId="5" borderId="40" applyAlignment="1" pivotButton="0" quotePrefix="0" xfId="22">
      <alignment vertical="center" wrapText="1"/>
    </xf>
    <xf numFmtId="166" fontId="13" fillId="5" borderId="41" applyAlignment="1" pivotButton="0" quotePrefix="0" xfId="22">
      <alignment vertical="center" wrapText="1"/>
    </xf>
    <xf numFmtId="166" fontId="13" fillId="18" borderId="40" applyAlignment="1" pivotButton="0" quotePrefix="0" xfId="22">
      <alignment vertical="center" wrapText="1"/>
    </xf>
    <xf numFmtId="166" fontId="13" fillId="2" borderId="41" applyAlignment="1" pivotButton="0" quotePrefix="0" xfId="13">
      <alignment horizontal="right"/>
    </xf>
    <xf numFmtId="166" fontId="13" fillId="3" borderId="40" applyAlignment="1" pivotButton="0" quotePrefix="0" xfId="13">
      <alignment horizontal="right"/>
    </xf>
    <xf numFmtId="166" fontId="13" fillId="3" borderId="41" applyAlignment="1" pivotButton="0" quotePrefix="0" xfId="13">
      <alignment horizontal="right"/>
    </xf>
    <xf numFmtId="166" fontId="13" fillId="3" borderId="40" applyAlignment="1" pivotButton="0" quotePrefix="0" xfId="22">
      <alignment vertical="center" wrapText="1"/>
    </xf>
    <xf numFmtId="166" fontId="13" fillId="5" borderId="42" applyAlignment="1" pivotButton="0" quotePrefix="0" xfId="22">
      <alignment vertical="center" wrapText="1"/>
    </xf>
    <xf numFmtId="0" fontId="25" fillId="4" borderId="40" applyAlignment="1" applyProtection="1" pivotButton="0" quotePrefix="0" xfId="0">
      <alignment horizontal="left" vertical="center" wrapText="1" indent="1"/>
      <protection locked="0" hidden="0"/>
    </xf>
    <xf numFmtId="166" fontId="13" fillId="15" borderId="46" applyAlignment="1" pivotButton="0" quotePrefix="0" xfId="13">
      <alignment horizontal="right"/>
    </xf>
    <xf numFmtId="166" fontId="13" fillId="15" borderId="32" applyAlignment="1" pivotButton="0" quotePrefix="0" xfId="13">
      <alignment horizontal="right"/>
    </xf>
    <xf numFmtId="166" fontId="13" fillId="3" borderId="32" applyAlignment="1" pivotButton="0" quotePrefix="0" xfId="13">
      <alignment horizontal="right"/>
    </xf>
    <xf numFmtId="166" fontId="13" fillId="18" borderId="32" applyAlignment="1" pivotButton="0" quotePrefix="0" xfId="13">
      <alignment horizontal="right"/>
    </xf>
    <xf numFmtId="0" fontId="13" fillId="5" borderId="42" applyAlignment="1" pivotButton="0" quotePrefix="0" xfId="13">
      <alignment horizontal="center"/>
    </xf>
    <xf numFmtId="0" fontId="13" fillId="0" borderId="36" applyAlignment="1" pivotButton="0" quotePrefix="0" xfId="13">
      <alignment horizontal="center"/>
    </xf>
    <xf numFmtId="0" fontId="13" fillId="0" borderId="47" applyAlignment="1" pivotButton="0" quotePrefix="0" xfId="13">
      <alignment horizontal="center"/>
    </xf>
    <xf numFmtId="166" fontId="13" fillId="5" borderId="36" applyAlignment="1" pivotButton="0" quotePrefix="0" xfId="13">
      <alignment horizontal="center"/>
    </xf>
    <xf numFmtId="166" fontId="13" fillId="0" borderId="36" applyAlignment="1" pivotButton="0" quotePrefix="0" xfId="13">
      <alignment horizontal="center"/>
    </xf>
    <xf numFmtId="166" fontId="13" fillId="0" borderId="47" applyAlignment="1" pivotButton="0" quotePrefix="0" xfId="13">
      <alignment horizontal="center"/>
    </xf>
    <xf numFmtId="0" fontId="13" fillId="0" borderId="36" applyAlignment="1" pivotButton="0" quotePrefix="0" xfId="13">
      <alignment horizontal="right"/>
    </xf>
    <xf numFmtId="0" fontId="13" fillId="0" borderId="47" applyAlignment="1" pivotButton="0" quotePrefix="0" xfId="13">
      <alignment horizontal="right"/>
    </xf>
    <xf numFmtId="0" fontId="13" fillId="0" borderId="0" applyAlignment="1" pivotButton="0" quotePrefix="0" xfId="13">
      <alignment horizontal="right"/>
    </xf>
    <xf numFmtId="0" fontId="13" fillId="5" borderId="7" applyAlignment="1" pivotButton="0" quotePrefix="0" xfId="13">
      <alignment horizontal="center" wrapText="1"/>
    </xf>
    <xf numFmtId="0" fontId="13" fillId="12" borderId="0" pivotButton="0" quotePrefix="0" xfId="0"/>
    <xf numFmtId="165" fontId="13" fillId="5" borderId="7" applyAlignment="1" pivotButton="0" quotePrefix="0" xfId="13">
      <alignment horizontal="right" vertical="center"/>
    </xf>
    <xf numFmtId="165" fontId="13" fillId="15" borderId="7" applyAlignment="1" pivotButton="0" quotePrefix="0" xfId="13">
      <alignment horizontal="right" vertical="center"/>
    </xf>
    <xf numFmtId="165" fontId="13" fillId="0" borderId="7" applyAlignment="1" pivotButton="0" quotePrefix="0" xfId="22">
      <alignment horizontal="right" vertical="center"/>
    </xf>
    <xf numFmtId="165" fontId="13" fillId="0" borderId="7" applyAlignment="1" pivotButton="0" quotePrefix="0" xfId="13">
      <alignment horizontal="right" vertical="center"/>
    </xf>
    <xf numFmtId="0" fontId="13" fillId="0" borderId="7" applyAlignment="1" pivotButton="0" quotePrefix="0" xfId="13">
      <alignment horizontal="left" vertical="center" wrapText="1"/>
    </xf>
    <xf numFmtId="0" fontId="13" fillId="0" borderId="7" applyAlignment="1" pivotButton="0" quotePrefix="0" xfId="13">
      <alignment horizontal="left" vertical="center"/>
    </xf>
    <xf numFmtId="165" fontId="13" fillId="15" borderId="49" applyAlignment="1" pivotButton="0" quotePrefix="0" xfId="13">
      <alignment horizontal="right" vertical="center"/>
    </xf>
    <xf numFmtId="165" fontId="13" fillId="0" borderId="0" applyAlignment="1" pivotButton="0" quotePrefix="0" xfId="13">
      <alignment horizontal="right" vertical="center"/>
    </xf>
    <xf numFmtId="165" fontId="13" fillId="0" borderId="0" applyAlignment="1" pivotButton="0" quotePrefix="0" xfId="22">
      <alignment vertical="center" wrapText="1"/>
    </xf>
    <xf numFmtId="0" fontId="13" fillId="0" borderId="0" applyAlignment="1" pivotButton="0" quotePrefix="0" xfId="22">
      <alignment horizontal="left" vertical="center" wrapText="1"/>
    </xf>
    <xf numFmtId="0" fontId="25" fillId="4" borderId="7" applyAlignment="1" applyProtection="1" pivotButton="0" quotePrefix="0" xfId="0">
      <alignment horizontal="left" vertical="center" wrapText="1"/>
      <protection locked="0" hidden="0"/>
    </xf>
    <xf numFmtId="0" fontId="13" fillId="3" borderId="49" pivotButton="0" quotePrefix="0" xfId="13"/>
    <xf numFmtId="0" fontId="13" fillId="5" borderId="7" applyAlignment="1" pivotButton="0" quotePrefix="0" xfId="13">
      <alignment horizontal="center" vertical="center"/>
    </xf>
    <xf numFmtId="0" fontId="13" fillId="3" borderId="13" pivotButton="0" quotePrefix="0" xfId="13"/>
    <xf numFmtId="166" fontId="13" fillId="5" borderId="7" applyAlignment="1" pivotButton="0" quotePrefix="0" xfId="13">
      <alignment horizontal="center" vertical="center"/>
    </xf>
    <xf numFmtId="0" fontId="13" fillId="3" borderId="11" pivotButton="0" quotePrefix="0" xfId="13"/>
    <xf numFmtId="166" fontId="13" fillId="5" borderId="7" applyAlignment="1" pivotButton="0" quotePrefix="0" xfId="13">
      <alignment horizontal="right" vertical="center"/>
    </xf>
    <xf numFmtId="0" fontId="13" fillId="0" borderId="0" pivotButton="0" quotePrefix="0" xfId="20"/>
    <xf numFmtId="0" fontId="13" fillId="0" borderId="0" pivotButton="0" quotePrefix="0" xfId="23"/>
    <xf numFmtId="0" fontId="13" fillId="0" borderId="0" applyAlignment="1" pivotButton="0" quotePrefix="0" xfId="23">
      <alignment vertical="center"/>
    </xf>
    <xf numFmtId="38" fontId="33" fillId="3" borderId="7" applyAlignment="1" pivotButton="0" quotePrefix="0" xfId="22">
      <alignment horizontal="center" vertical="center" wrapText="1"/>
    </xf>
    <xf numFmtId="38" fontId="13" fillId="3" borderId="7" applyAlignment="1" pivotButton="0" quotePrefix="0" xfId="22">
      <alignment horizontal="center" vertical="center" wrapText="1"/>
    </xf>
    <xf numFmtId="167" fontId="13" fillId="5" borderId="11" applyAlignment="1" pivotButton="0" quotePrefix="0" xfId="21">
      <alignment vertical="center"/>
    </xf>
    <xf numFmtId="167" fontId="13" fillId="19" borderId="7" applyAlignment="1" applyProtection="1" pivotButton="0" quotePrefix="0" xfId="21">
      <alignment vertical="center" wrapText="1"/>
      <protection locked="0" hidden="0"/>
    </xf>
    <xf numFmtId="167" fontId="13" fillId="3" borderId="7" applyAlignment="1" pivotButton="0" quotePrefix="0" xfId="21">
      <alignment vertical="center" wrapText="1"/>
    </xf>
    <xf numFmtId="167" fontId="13" fillId="5" borderId="7" applyAlignment="1" pivotButton="0" quotePrefix="0" xfId="21">
      <alignment vertical="center"/>
    </xf>
    <xf numFmtId="167" fontId="13" fillId="4" borderId="7" applyAlignment="1" applyProtection="1" pivotButton="0" quotePrefix="0" xfId="21">
      <alignment vertical="center" wrapText="1"/>
      <protection locked="0" hidden="0"/>
    </xf>
    <xf numFmtId="0" fontId="24" fillId="20" borderId="0" pivotButton="0" quotePrefix="0" xfId="0"/>
    <xf numFmtId="165" fontId="24" fillId="7" borderId="7" applyAlignment="1" applyProtection="1" pivotButton="0" quotePrefix="0" xfId="21">
      <alignment vertical="center" wrapText="1"/>
      <protection locked="0" hidden="0"/>
    </xf>
    <xf numFmtId="165" fontId="24" fillId="5" borderId="7" applyAlignment="1" pivotButton="0" quotePrefix="0" xfId="21">
      <alignment vertical="center"/>
    </xf>
    <xf numFmtId="0" fontId="20" fillId="4" borderId="7" applyAlignment="1" applyProtection="1" pivotButton="0" quotePrefix="0" xfId="0">
      <alignment vertical="center" wrapText="1"/>
      <protection locked="0" hidden="0"/>
    </xf>
    <xf numFmtId="165" fontId="20" fillId="7" borderId="7" applyAlignment="1" applyProtection="1" pivotButton="0" quotePrefix="0" xfId="21">
      <alignment vertical="center" wrapText="1"/>
      <protection locked="0" hidden="0"/>
    </xf>
    <xf numFmtId="165" fontId="20" fillId="5" borderId="7" applyAlignment="1" pivotButton="0" quotePrefix="0" xfId="21">
      <alignment vertical="center"/>
    </xf>
    <xf numFmtId="165" fontId="20" fillId="18" borderId="7" applyAlignment="1" pivotButton="0" quotePrefix="0" xfId="21">
      <alignment vertical="center"/>
    </xf>
    <xf numFmtId="165" fontId="36" fillId="7" borderId="7" applyAlignment="1" applyProtection="1" pivotButton="0" quotePrefix="0" xfId="21">
      <alignment vertical="center" wrapText="1"/>
      <protection locked="0" hidden="0"/>
    </xf>
    <xf numFmtId="165" fontId="36" fillId="5" borderId="7" applyAlignment="1" pivotButton="0" quotePrefix="0" xfId="21">
      <alignment vertical="center"/>
    </xf>
    <xf numFmtId="165" fontId="36" fillId="5" borderId="7" applyAlignment="1" pivotButton="0" quotePrefix="1" xfId="21">
      <alignment vertical="center"/>
    </xf>
    <xf numFmtId="0" fontId="36" fillId="4" borderId="7" applyAlignment="1" applyProtection="1" pivotButton="0" quotePrefix="0" xfId="0">
      <alignment horizontal="left" vertical="center" wrapText="1" indent="1"/>
      <protection locked="0" hidden="0"/>
    </xf>
    <xf numFmtId="0" fontId="20" fillId="3" borderId="0" pivotButton="0" quotePrefix="0" xfId="0"/>
    <xf numFmtId="0" fontId="1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vertical="top"/>
    </xf>
    <xf numFmtId="0" fontId="29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167" fontId="13" fillId="5" borderId="7" applyAlignment="1" pivotButton="0" quotePrefix="0" xfId="21">
      <alignment horizontal="right"/>
    </xf>
    <xf numFmtId="167" fontId="13" fillId="15" borderId="7" applyAlignment="1" pivotButton="0" quotePrefix="0" xfId="21">
      <alignment horizontal="right"/>
    </xf>
    <xf numFmtId="167" fontId="13" fillId="0" borderId="7" applyAlignment="1" pivotButton="0" quotePrefix="0" xfId="21">
      <alignment vertical="center"/>
    </xf>
    <xf numFmtId="167" fontId="20" fillId="18" borderId="7" applyAlignment="1" pivotButton="0" quotePrefix="0" xfId="21">
      <alignment vertical="center"/>
    </xf>
    <xf numFmtId="167" fontId="13" fillId="7" borderId="7" applyAlignment="1" applyProtection="1" pivotButton="0" quotePrefix="0" xfId="21">
      <alignment wrapText="1"/>
      <protection locked="0" hidden="0"/>
    </xf>
    <xf numFmtId="0" fontId="38" fillId="0" borderId="0" pivotButton="0" quotePrefix="0" xfId="0"/>
    <xf numFmtId="0" fontId="39" fillId="0" borderId="0" applyAlignment="1" pivotButton="0" quotePrefix="0" xfId="0">
      <alignment horizontal="center" vertical="center" wrapText="1"/>
    </xf>
    <xf numFmtId="167" fontId="13" fillId="5" borderId="7" pivotButton="0" quotePrefix="0" xfId="21"/>
    <xf numFmtId="167" fontId="13" fillId="3" borderId="7" pivotButton="0" quotePrefix="0" xfId="21"/>
    <xf numFmtId="0" fontId="4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168" fontId="13" fillId="5" borderId="7" applyAlignment="1" pivotButton="0" quotePrefix="0" xfId="21">
      <alignment vertical="center"/>
    </xf>
    <xf numFmtId="169" fontId="13" fillId="3" borderId="7" applyAlignment="1" pivotButton="0" quotePrefix="0" xfId="13">
      <alignment horizontal="right"/>
    </xf>
    <xf numFmtId="0" fontId="13" fillId="4" borderId="7" applyAlignment="1" applyProtection="1" pivotButton="0" quotePrefix="0" xfId="25">
      <alignment vertical="center" wrapText="1"/>
      <protection locked="0" hidden="0"/>
    </xf>
    <xf numFmtId="0" fontId="13" fillId="0" borderId="0" applyAlignment="1" pivotButton="0" quotePrefix="0" xfId="0">
      <alignment horizontal="center" vertical="center" wrapText="1"/>
    </xf>
    <xf numFmtId="0" fontId="40" fillId="0" borderId="0" pivotButton="0" quotePrefix="0" xfId="0"/>
    <xf numFmtId="169" fontId="13" fillId="0" borderId="7" applyAlignment="1" pivotButton="0" quotePrefix="0" xfId="22">
      <alignment horizontal="center" vertical="center"/>
    </xf>
    <xf numFmtId="0" fontId="20" fillId="4" borderId="7" applyAlignment="1" applyProtection="1" pivotButton="0" quotePrefix="0" xfId="0">
      <alignment horizontal="left" vertical="center" wrapText="1"/>
      <protection locked="0" hidden="0"/>
    </xf>
    <xf numFmtId="0" fontId="20" fillId="4" borderId="8" applyAlignment="1" applyProtection="1" pivotButton="0" quotePrefix="0" xfId="0">
      <alignment horizontal="left" vertical="center" wrapText="1"/>
      <protection locked="0" hidden="0"/>
    </xf>
    <xf numFmtId="167" fontId="13" fillId="15" borderId="7" applyAlignment="1" pivotButton="0" quotePrefix="0" xfId="21">
      <alignment horizontal="right" vertical="center"/>
    </xf>
    <xf numFmtId="0" fontId="45" fillId="0" borderId="0" applyAlignment="1" pivotButton="0" quotePrefix="0" xfId="0">
      <alignment horizontal="center" wrapText="1"/>
    </xf>
    <xf numFmtId="0" fontId="20" fillId="13" borderId="0" pivotButton="0" quotePrefix="0" xfId="0"/>
    <xf numFmtId="0" fontId="13" fillId="14" borderId="0" pivotButton="0" quotePrefix="0" xfId="0"/>
    <xf numFmtId="0" fontId="20" fillId="22" borderId="0" pivotButton="0" quotePrefix="0" xfId="0"/>
    <xf numFmtId="0" fontId="20" fillId="0" borderId="0" applyAlignment="1" pivotButton="0" quotePrefix="0" xfId="0">
      <alignment horizontal="center"/>
    </xf>
    <xf numFmtId="169" fontId="13" fillId="0" borderId="0" pivotButton="0" quotePrefix="0" xfId="22"/>
    <xf numFmtId="167" fontId="13" fillId="3" borderId="7" applyAlignment="1" pivotButton="0" quotePrefix="0" xfId="21">
      <alignment horizontal="right"/>
    </xf>
    <xf numFmtId="170" fontId="13" fillId="4" borderId="7" applyAlignment="1" applyProtection="1" pivotButton="0" quotePrefix="0" xfId="0">
      <alignment wrapText="1"/>
      <protection locked="0" hidden="0"/>
    </xf>
    <xf numFmtId="167" fontId="13" fillId="7" borderId="7" applyAlignment="1" applyProtection="1" pivotButton="0" quotePrefix="0" xfId="0">
      <alignment wrapText="1"/>
      <protection locked="0" hidden="0"/>
    </xf>
    <xf numFmtId="167" fontId="13" fillId="5" borderId="7" pivotButton="0" quotePrefix="0" xfId="21"/>
    <xf numFmtId="9" fontId="13" fillId="5" borderId="7" pivotButton="0" quotePrefix="0" xfId="1"/>
    <xf numFmtId="9" fontId="13" fillId="7" borderId="7" applyAlignment="1" applyProtection="1" pivotButton="0" quotePrefix="0" xfId="1">
      <alignment horizontal="center" vertical="center" wrapText="1"/>
      <protection locked="0" hidden="0"/>
    </xf>
    <xf numFmtId="9" fontId="13" fillId="5" borderId="7" applyAlignment="1" pivotButton="0" quotePrefix="0" xfId="1">
      <alignment horizontal="center" vertical="center"/>
    </xf>
    <xf numFmtId="171" fontId="13" fillId="10" borderId="7" applyAlignment="1" applyProtection="1" pivotButton="0" quotePrefix="0" xfId="0">
      <alignment wrapText="1"/>
      <protection locked="0" hidden="0"/>
    </xf>
    <xf numFmtId="0" fontId="20" fillId="4" borderId="7" applyAlignment="1" applyProtection="1" pivotButton="0" quotePrefix="0" xfId="0">
      <alignment wrapText="1"/>
      <protection locked="0" hidden="0"/>
    </xf>
    <xf numFmtId="170" fontId="13" fillId="7" borderId="7" applyAlignment="1" applyProtection="1" pivotButton="0" quotePrefix="0" xfId="0">
      <alignment wrapText="1"/>
      <protection locked="0" hidden="0"/>
    </xf>
    <xf numFmtId="9" fontId="13" fillId="5" borderId="7" applyAlignment="1" pivotButton="0" quotePrefix="0" xfId="1">
      <alignment horizontal="center" vertical="center" wrapText="1"/>
    </xf>
    <xf numFmtId="0" fontId="13" fillId="12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31" fillId="21" borderId="0" applyAlignment="1" pivotButton="0" quotePrefix="0" xfId="0">
      <alignment vertical="center"/>
    </xf>
    <xf numFmtId="0" fontId="31" fillId="0" borderId="0" pivotButton="0" quotePrefix="0" xfId="0"/>
    <xf numFmtId="0" fontId="13" fillId="4" borderId="7" applyAlignment="1" applyProtection="1" pivotButton="0" quotePrefix="0" xfId="0">
      <alignment vertical="center" wrapText="1"/>
      <protection locked="0" hidden="0"/>
    </xf>
    <xf numFmtId="165" fontId="13" fillId="7" borderId="7" applyAlignment="1" applyProtection="1" pivotButton="0" quotePrefix="0" xfId="0">
      <alignment vertical="center" wrapText="1"/>
      <protection locked="0" hidden="0"/>
    </xf>
    <xf numFmtId="171" fontId="13" fillId="10" borderId="7" applyAlignment="1" applyProtection="1" pivotButton="0" quotePrefix="0" xfId="0">
      <alignment vertical="center" wrapText="1"/>
      <protection locked="0" hidden="0"/>
    </xf>
    <xf numFmtId="0" fontId="31" fillId="0" borderId="0" applyAlignment="1" pivotButton="0" quotePrefix="0" xfId="0">
      <alignment vertical="center"/>
    </xf>
    <xf numFmtId="165" fontId="13" fillId="7" borderId="9" applyAlignment="1" applyProtection="1" pivotButton="0" quotePrefix="0" xfId="0">
      <alignment vertical="center" wrapText="1"/>
      <protection locked="0" hidden="0"/>
    </xf>
    <xf numFmtId="0" fontId="25" fillId="21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40" fillId="21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165" fontId="13" fillId="7" borderId="7" applyAlignment="1" applyProtection="1" pivotButton="0" quotePrefix="0" xfId="21">
      <alignment vertical="center" wrapText="1"/>
      <protection locked="0" hidden="0"/>
    </xf>
    <xf numFmtId="168" fontId="13" fillId="4" borderId="7" applyAlignment="1" applyProtection="1" pivotButton="0" quotePrefix="0" xfId="21">
      <alignment vertical="center" wrapText="1"/>
      <protection locked="0" hidden="0"/>
    </xf>
    <xf numFmtId="172" fontId="13" fillId="7" borderId="7" applyAlignment="1" applyProtection="1" pivotButton="0" quotePrefix="0" xfId="1">
      <alignment vertical="center" wrapText="1"/>
      <protection locked="0" hidden="0"/>
    </xf>
    <xf numFmtId="168" fontId="13" fillId="0" borderId="0" applyAlignment="1" pivotButton="0" quotePrefix="0" xfId="21">
      <alignment vertical="center"/>
    </xf>
    <xf numFmtId="10" fontId="13" fillId="0" borderId="0" applyAlignment="1" pivotButton="0" quotePrefix="0" xfId="1">
      <alignment vertical="center"/>
    </xf>
    <xf numFmtId="168" fontId="13" fillId="7" borderId="7" applyAlignment="1" applyProtection="1" pivotButton="0" quotePrefix="0" xfId="21">
      <alignment vertical="center" wrapText="1"/>
      <protection locked="0" hidden="0"/>
    </xf>
    <xf numFmtId="0" fontId="20" fillId="0" borderId="0" pivotButton="0" quotePrefix="0" xfId="27"/>
    <xf numFmtId="0" fontId="20" fillId="2" borderId="0" pivotButton="0" quotePrefix="0" xfId="27"/>
    <xf numFmtId="0" fontId="20" fillId="2" borderId="0" applyAlignment="1" pivotButton="0" quotePrefix="0" xfId="27">
      <alignment vertical="center"/>
    </xf>
    <xf numFmtId="167" fontId="13" fillId="7" borderId="7" applyAlignment="1" applyProtection="1" pivotButton="0" quotePrefix="0" xfId="21">
      <alignment vertical="center" wrapText="1"/>
      <protection locked="0" hidden="0"/>
    </xf>
    <xf numFmtId="169" fontId="13" fillId="7" borderId="7" applyAlignment="1" applyProtection="1" pivotButton="0" quotePrefix="0" xfId="27">
      <alignment vertical="center" wrapText="1"/>
      <protection locked="0" hidden="0"/>
    </xf>
    <xf numFmtId="167" fontId="13" fillId="0" borderId="0" pivotButton="0" quotePrefix="0" xfId="21"/>
    <xf numFmtId="167" fontId="13" fillId="5" borderId="7" applyAlignment="1" pivotButton="0" quotePrefix="0" xfId="21">
      <alignment vertical="center" wrapText="1"/>
    </xf>
    <xf numFmtId="167" fontId="13" fillId="0" borderId="0" pivotButton="0" quotePrefix="0" xfId="21"/>
    <xf numFmtId="0" fontId="13" fillId="0" borderId="0" applyAlignment="1" pivotButton="0" quotePrefix="0" xfId="0">
      <alignment vertical="top" wrapText="1"/>
    </xf>
    <xf numFmtId="165" fontId="20" fillId="3" borderId="7" applyAlignment="1" pivotButton="0" quotePrefix="0" xfId="21">
      <alignment vertical="center"/>
    </xf>
    <xf numFmtId="167" fontId="20" fillId="0" borderId="7" applyAlignment="1" pivotButton="0" quotePrefix="0" xfId="21">
      <alignment vertical="center"/>
    </xf>
    <xf numFmtId="165" fontId="20" fillId="0" borderId="7" applyAlignment="1" pivotButton="0" quotePrefix="0" xfId="21">
      <alignment vertical="center"/>
    </xf>
    <xf numFmtId="165" fontId="24" fillId="18" borderId="7" applyAlignment="1" pivotButton="0" quotePrefix="0" xfId="21">
      <alignment vertical="center"/>
    </xf>
    <xf numFmtId="165" fontId="13" fillId="5" borderId="7" applyAlignment="1" pivotButton="0" quotePrefix="0" xfId="21">
      <alignment vertical="center"/>
    </xf>
    <xf numFmtId="0" fontId="13" fillId="2" borderId="0" applyAlignment="1" pivotButton="0" quotePrefix="0" xfId="0">
      <alignment horizontal="left" vertical="top" wrapText="1"/>
    </xf>
    <xf numFmtId="0" fontId="13" fillId="2" borderId="0" pivotButton="0" quotePrefix="0" xfId="0"/>
    <xf numFmtId="0" fontId="20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13">
      <alignment horizontal="right" vertical="center"/>
    </xf>
    <xf numFmtId="0" fontId="13" fillId="3" borderId="7" applyAlignment="1" pivotButton="0" quotePrefix="0" xfId="21">
      <alignment horizontal="center" vertical="center"/>
    </xf>
    <xf numFmtId="0" fontId="13" fillId="5" borderId="7" applyAlignment="1" pivotButton="0" quotePrefix="0" xfId="21">
      <alignment horizontal="center" vertical="center"/>
    </xf>
    <xf numFmtId="0" fontId="13" fillId="4" borderId="7" applyAlignment="1" applyProtection="1" pivotButton="0" quotePrefix="0" xfId="21">
      <alignment vertical="center" wrapText="1"/>
      <protection locked="0" hidden="0"/>
    </xf>
    <xf numFmtId="169" fontId="13" fillId="2" borderId="0" applyAlignment="1" pivotButton="0" quotePrefix="0" xfId="22">
      <alignment vertical="center"/>
    </xf>
    <xf numFmtId="169" fontId="13" fillId="2" borderId="0" applyAlignment="1" pivotButton="0" quotePrefix="0" xfId="13">
      <alignment horizontal="right" vertical="center"/>
    </xf>
    <xf numFmtId="173" fontId="20" fillId="4" borderId="7" applyAlignment="1" applyProtection="1" pivotButton="0" quotePrefix="0" xfId="28">
      <alignment vertical="center" wrapText="1"/>
      <protection locked="0" hidden="0"/>
    </xf>
    <xf numFmtId="0" fontId="26" fillId="2" borderId="0" pivotButton="0" quotePrefix="0" xfId="0"/>
    <xf numFmtId="0" fontId="25" fillId="0" borderId="0" applyAlignment="1" pivotButton="0" quotePrefix="0" xfId="0">
      <alignment wrapText="1"/>
    </xf>
    <xf numFmtId="0" fontId="13" fillId="2" borderId="0" applyAlignment="1" pivotButton="0" quotePrefix="0" xfId="17">
      <alignment horizontal="center" vertical="center" wrapText="1"/>
    </xf>
    <xf numFmtId="167" fontId="13" fillId="2" borderId="0" pivotButton="0" quotePrefix="0" xfId="0"/>
    <xf numFmtId="167" fontId="13" fillId="2" borderId="0" pivotButton="0" quotePrefix="0" xfId="21"/>
    <xf numFmtId="167" fontId="13" fillId="2" borderId="0" applyAlignment="1" pivotButton="0" quotePrefix="0" xfId="21">
      <alignment horizontal="right"/>
    </xf>
    <xf numFmtId="167" fontId="13" fillId="2" borderId="0" pivotButton="0" quotePrefix="0" xfId="21"/>
    <xf numFmtId="0" fontId="13" fillId="5" borderId="7" applyAlignment="1" pivotButton="0" quotePrefix="0" xfId="13">
      <alignment horizontal="center"/>
    </xf>
    <xf numFmtId="0" fontId="20" fillId="23" borderId="0" pivotButton="0" quotePrefix="0" xfId="0"/>
    <xf numFmtId="0" fontId="24" fillId="9" borderId="7" applyAlignment="1" applyProtection="1" pivotButton="0" quotePrefix="0" xfId="0">
      <alignment horizontal="center" vertical="center" wrapText="1"/>
      <protection locked="0" hidden="0"/>
    </xf>
    <xf numFmtId="165" fontId="20" fillId="7" borderId="7" applyAlignment="1" applyProtection="1" pivotButton="0" quotePrefix="0" xfId="0">
      <alignment vertical="center" wrapText="1"/>
      <protection locked="0" hidden="0"/>
    </xf>
    <xf numFmtId="0" fontId="20" fillId="4" borderId="7" applyAlignment="1" applyProtection="1" pivotButton="0" quotePrefix="0" xfId="0">
      <alignment horizontal="center" vertical="center" wrapText="1"/>
      <protection locked="0" hidden="0"/>
    </xf>
    <xf numFmtId="0" fontId="49" fillId="9" borderId="7" applyAlignment="1" applyProtection="1" pivotButton="0" quotePrefix="0" xfId="0">
      <alignment horizontal="left" vertical="center" wrapText="1" indent="2"/>
      <protection locked="0" hidden="0"/>
    </xf>
    <xf numFmtId="0" fontId="36" fillId="4" borderId="7" applyAlignment="1" applyProtection="1" pivotButton="0" quotePrefix="0" xfId="0">
      <alignment vertical="center" wrapText="1"/>
      <protection locked="0" hidden="0"/>
    </xf>
    <xf numFmtId="171" fontId="20" fillId="10" borderId="7" applyAlignment="1" applyProtection="1" pivotButton="0" quotePrefix="0" xfId="0">
      <alignment horizontal="center" vertical="center" wrapText="1"/>
      <protection locked="0" hidden="0"/>
    </xf>
    <xf numFmtId="0" fontId="20" fillId="9" borderId="7" applyAlignment="1" applyProtection="1" pivotButton="0" quotePrefix="0" xfId="0">
      <alignment horizontal="center" vertical="center" wrapText="1"/>
      <protection locked="0" hidden="0"/>
    </xf>
    <xf numFmtId="0" fontId="20" fillId="9" borderId="7" applyAlignment="1" applyProtection="1" pivotButton="0" quotePrefix="0" xfId="0">
      <alignment vertical="center" wrapText="1"/>
      <protection locked="0" hidden="0"/>
    </xf>
    <xf numFmtId="165" fontId="13" fillId="15" borderId="7" applyAlignment="1" pivotButton="0" quotePrefix="0" xfId="21">
      <alignment horizontal="right" vertical="center"/>
    </xf>
    <xf numFmtId="165" fontId="13" fillId="5" borderId="7" applyAlignment="1" pivotButton="0" quotePrefix="0" xfId="21">
      <alignment horizontal="right" vertical="center"/>
    </xf>
    <xf numFmtId="167" fontId="13" fillId="3" borderId="7" applyAlignment="1" pivotButton="0" quotePrefix="0" xfId="21">
      <alignment horizontal="center" vertical="center"/>
    </xf>
    <xf numFmtId="167" fontId="26" fillId="3" borderId="7" applyAlignment="1" pivotButton="0" quotePrefix="0" xfId="21">
      <alignment vertical="center" wrapText="1"/>
    </xf>
    <xf numFmtId="165" fontId="13" fillId="7" borderId="7" applyAlignment="1" applyProtection="1" pivotButton="0" quotePrefix="0" xfId="21">
      <alignment horizontal="right" vertical="center" wrapText="1"/>
      <protection locked="0" hidden="0"/>
    </xf>
    <xf numFmtId="167" fontId="13" fillId="5" borderId="7" applyAlignment="1" pivotButton="0" quotePrefix="0" xfId="21">
      <alignment horizontal="center" vertical="center"/>
    </xf>
    <xf numFmtId="165" fontId="49" fillId="5" borderId="7" applyAlignment="1" pivotButton="0" quotePrefix="0" xfId="21">
      <alignment horizontal="right" vertical="center"/>
    </xf>
    <xf numFmtId="167" fontId="13" fillId="18" borderId="7" applyAlignment="1" pivotButton="0" quotePrefix="0" xfId="21">
      <alignment horizontal="center" vertical="center"/>
    </xf>
    <xf numFmtId="167" fontId="26" fillId="18" borderId="7" applyAlignment="1" pivotButton="0" quotePrefix="0" xfId="21">
      <alignment vertical="center" wrapText="1"/>
    </xf>
    <xf numFmtId="169" fontId="26" fillId="2" borderId="0" applyAlignment="1" pivotButton="0" quotePrefix="0" xfId="22">
      <alignment vertical="center"/>
    </xf>
    <xf numFmtId="169" fontId="26" fillId="2" borderId="0" applyAlignment="1" pivotButton="0" quotePrefix="0" xfId="13">
      <alignment horizontal="right" vertical="center"/>
    </xf>
    <xf numFmtId="0" fontId="20" fillId="24" borderId="0" pivotButton="0" quotePrefix="0" xfId="0"/>
    <xf numFmtId="167" fontId="13" fillId="3" borderId="7" applyAlignment="1" pivotButton="0" quotePrefix="0" xfId="21">
      <alignment horizontal="right" vertical="center"/>
    </xf>
    <xf numFmtId="167" fontId="13" fillId="3" borderId="7" applyAlignment="1" pivotButton="0" quotePrefix="0" xfId="21">
      <alignment horizontal="right" vertical="center" wrapText="1"/>
    </xf>
    <xf numFmtId="0" fontId="20" fillId="2" borderId="0" applyAlignment="1" pivotButton="0" quotePrefix="0" xfId="0">
      <alignment vertical="top" wrapText="1"/>
    </xf>
    <xf numFmtId="167" fontId="26" fillId="2" borderId="0" pivotButton="0" quotePrefix="0" xfId="21"/>
    <xf numFmtId="167" fontId="26" fillId="2" borderId="0" pivotButton="0" quotePrefix="0" xfId="21"/>
    <xf numFmtId="167" fontId="26" fillId="2" borderId="0" applyAlignment="1" pivotButton="0" quotePrefix="0" xfId="21">
      <alignment horizontal="right"/>
    </xf>
    <xf numFmtId="169" fontId="25" fillId="2" borderId="0" applyAlignment="1" pivotButton="0" quotePrefix="0" xfId="13">
      <alignment horizontal="right"/>
    </xf>
    <xf numFmtId="169" fontId="25" fillId="2" borderId="0" pivotButton="0" quotePrefix="0" xfId="22"/>
    <xf numFmtId="0" fontId="26" fillId="0" borderId="0" pivotButton="0" quotePrefix="0" xfId="0"/>
    <xf numFmtId="0" fontId="13" fillId="0" borderId="0" pivotButton="0" quotePrefix="0" xfId="29"/>
    <xf numFmtId="0" fontId="20" fillId="0" borderId="0" pivotButton="0" quotePrefix="0" xfId="29"/>
    <xf numFmtId="0" fontId="53" fillId="0" borderId="0" applyAlignment="1" pivotButton="0" quotePrefix="0" xfId="30">
      <alignment vertical="center"/>
    </xf>
    <xf numFmtId="0" fontId="54" fillId="0" borderId="0" pivotButton="0" quotePrefix="0" xfId="29"/>
    <xf numFmtId="0" fontId="25" fillId="4" borderId="7" applyAlignment="1" applyProtection="1" pivotButton="0" quotePrefix="0" xfId="17">
      <alignment horizontal="center" vertical="center" wrapText="1"/>
      <protection locked="0" hidden="0"/>
    </xf>
    <xf numFmtId="174" fontId="13" fillId="7" borderId="13" applyAlignment="1" applyProtection="1" pivotButton="0" quotePrefix="0" xfId="17">
      <alignment horizontal="center" vertical="center" wrapText="1"/>
      <protection locked="0" hidden="0"/>
    </xf>
    <xf numFmtId="174" fontId="13" fillId="7" borderId="54" applyAlignment="1" applyProtection="1" pivotButton="0" quotePrefix="0" xfId="17">
      <alignment horizontal="center" vertical="center" wrapText="1"/>
      <protection locked="0" hidden="0"/>
    </xf>
    <xf numFmtId="0" fontId="13" fillId="4" borderId="13" applyAlignment="1" applyProtection="1" pivotButton="0" quotePrefix="0" xfId="17">
      <alignment horizontal="left" vertical="center" wrapText="1"/>
      <protection locked="0" hidden="0"/>
    </xf>
    <xf numFmtId="0" fontId="24" fillId="0" borderId="0" pivotButton="0" quotePrefix="0" xfId="29"/>
    <xf numFmtId="3" fontId="13" fillId="7" borderId="53" applyAlignment="1" applyProtection="1" pivotButton="0" quotePrefix="0" xfId="17">
      <alignment horizontal="center" vertical="center" wrapText="1"/>
      <protection locked="0" hidden="0"/>
    </xf>
    <xf numFmtId="3" fontId="13" fillId="7" borderId="12" applyAlignment="1" applyProtection="1" pivotButton="0" quotePrefix="0" xfId="17">
      <alignment horizontal="center" vertical="center" wrapText="1"/>
      <protection locked="0" hidden="0"/>
    </xf>
    <xf numFmtId="0" fontId="13" fillId="4" borderId="7" applyAlignment="1" applyProtection="1" pivotButton="0" quotePrefix="0" xfId="17">
      <alignment horizontal="center" vertical="center" wrapText="1"/>
      <protection locked="0" hidden="0"/>
    </xf>
    <xf numFmtId="0" fontId="25" fillId="0" borderId="0" applyAlignment="1" pivotButton="0" quotePrefix="0" xfId="17">
      <alignment horizontal="center" vertical="center" wrapText="1"/>
    </xf>
    <xf numFmtId="3" fontId="25" fillId="5" borderId="7" applyAlignment="1" pivotButton="0" quotePrefix="0" xfId="22">
      <alignment horizontal="center" vertical="center"/>
    </xf>
    <xf numFmtId="171" fontId="25" fillId="10" borderId="7" applyAlignment="1" applyProtection="1" pivotButton="0" quotePrefix="0" xfId="17">
      <alignment horizontal="center" vertical="center" wrapText="1"/>
      <protection locked="0" hidden="0"/>
    </xf>
    <xf numFmtId="0" fontId="25" fillId="4" borderId="7" applyAlignment="1" applyProtection="1" pivotButton="0" quotePrefix="0" xfId="17">
      <alignment horizontal="center" vertical="center" wrapText="1"/>
      <protection locked="0" hidden="0"/>
    </xf>
    <xf numFmtId="9" fontId="13" fillId="5" borderId="7" applyAlignment="1" pivotButton="0" quotePrefix="0" xfId="31">
      <alignment vertical="center"/>
    </xf>
    <xf numFmtId="175" fontId="13" fillId="5" borderId="7" applyAlignment="1" pivotButton="0" quotePrefix="0" xfId="22">
      <alignment vertical="center"/>
    </xf>
    <xf numFmtId="3" fontId="13" fillId="5" borderId="7" applyAlignment="1" pivotButton="0" quotePrefix="0" xfId="22">
      <alignment horizontal="center" vertical="center"/>
    </xf>
    <xf numFmtId="0" fontId="20" fillId="0" borderId="0" applyAlignment="1" pivotButton="0" quotePrefix="0" xfId="29">
      <alignment vertical="center"/>
    </xf>
    <xf numFmtId="0" fontId="25" fillId="0" borderId="0" applyAlignment="1" applyProtection="1" pivotButton="0" quotePrefix="0" xfId="11">
      <alignment horizontal="right"/>
      <protection locked="1" hidden="1"/>
    </xf>
    <xf numFmtId="0" fontId="13" fillId="0" borderId="0" applyAlignment="1" pivotButton="0" quotePrefix="0" xfId="29">
      <alignment vertical="center"/>
    </xf>
    <xf numFmtId="0" fontId="13" fillId="7" borderId="7" applyAlignment="1" applyProtection="1" pivotButton="0" quotePrefix="0" xfId="31">
      <alignment horizontal="center" vertical="center" wrapText="1"/>
      <protection locked="0" hidden="0"/>
    </xf>
    <xf numFmtId="165" fontId="13" fillId="7" borderId="13" applyAlignment="1" applyProtection="1" pivotButton="0" quotePrefix="0" xfId="21">
      <alignment vertical="center" wrapText="1"/>
      <protection locked="0" hidden="0"/>
    </xf>
    <xf numFmtId="165" fontId="13" fillId="15" borderId="13" applyAlignment="1" pivotButton="0" quotePrefix="0" xfId="21">
      <alignment horizontal="right" vertical="center"/>
    </xf>
    <xf numFmtId="165" fontId="13" fillId="3" borderId="13" applyAlignment="1" pivotButton="0" quotePrefix="0" xfId="21">
      <alignment vertical="center"/>
    </xf>
    <xf numFmtId="165" fontId="13" fillId="3" borderId="49" applyAlignment="1" pivotButton="0" quotePrefix="0" xfId="21">
      <alignment horizontal="right" vertical="center"/>
    </xf>
    <xf numFmtId="165" fontId="13" fillId="15" borderId="49" applyAlignment="1" pivotButton="0" quotePrefix="0" xfId="21">
      <alignment horizontal="right" vertical="center"/>
    </xf>
    <xf numFmtId="165" fontId="13" fillId="3" borderId="11" applyAlignment="1" pivotButton="0" quotePrefix="0" xfId="21">
      <alignment vertical="center"/>
    </xf>
    <xf numFmtId="165" fontId="13" fillId="15" borderId="11" applyAlignment="1" pivotButton="0" quotePrefix="0" xfId="21">
      <alignment horizontal="right" vertical="center"/>
    </xf>
    <xf numFmtId="165" fontId="13" fillId="7" borderId="11" applyAlignment="1" applyProtection="1" pivotButton="0" quotePrefix="0" xfId="21">
      <alignment vertical="center" wrapText="1"/>
      <protection locked="0" hidden="0"/>
    </xf>
    <xf numFmtId="165" fontId="25" fillId="15" borderId="7" applyAlignment="1" pivotButton="0" quotePrefix="0" xfId="21">
      <alignment horizontal="right" vertical="center"/>
    </xf>
    <xf numFmtId="165" fontId="13" fillId="3" borderId="13" applyAlignment="1" pivotButton="0" quotePrefix="0" xfId="21">
      <alignment horizontal="right" vertical="center"/>
    </xf>
    <xf numFmtId="9" fontId="13" fillId="15" borderId="7" applyAlignment="1" pivotButton="0" quotePrefix="0" xfId="13">
      <alignment horizontal="right" vertical="center"/>
    </xf>
    <xf numFmtId="165" fontId="13" fillId="3" borderId="13" applyAlignment="1" pivotButton="0" quotePrefix="0" xfId="22">
      <alignment vertical="center"/>
    </xf>
    <xf numFmtId="165" fontId="13" fillId="15" borderId="13" applyAlignment="1" pivotButton="0" quotePrefix="0" xfId="13">
      <alignment horizontal="right" vertical="center"/>
    </xf>
    <xf numFmtId="165" fontId="25" fillId="15" borderId="7" applyAlignment="1" pivotButton="0" quotePrefix="0" xfId="13">
      <alignment horizontal="right" vertical="center"/>
    </xf>
    <xf numFmtId="165" fontId="13" fillId="15" borderId="7" applyAlignment="1" pivotButton="0" quotePrefix="0" xfId="32">
      <alignment horizontal="right" vertical="center"/>
    </xf>
    <xf numFmtId="165" fontId="13" fillId="5" borderId="7" applyAlignment="1" pivotButton="0" quotePrefix="0" xfId="32">
      <alignment horizontal="right" vertical="center"/>
    </xf>
    <xf numFmtId="165" fontId="13" fillId="7" borderId="7" applyAlignment="1" applyProtection="1" pivotButton="0" quotePrefix="0" xfId="32">
      <alignment horizontal="right" vertical="center" wrapText="1"/>
      <protection locked="0" hidden="0"/>
    </xf>
    <xf numFmtId="165" fontId="13" fillId="7" borderId="13" applyAlignment="1" applyProtection="1" pivotButton="0" quotePrefix="0" xfId="32">
      <alignment vertical="center" wrapText="1"/>
      <protection locked="0" hidden="0"/>
    </xf>
    <xf numFmtId="3" fontId="13" fillId="3" borderId="13" applyAlignment="1" pivotButton="0" quotePrefix="0" xfId="22">
      <alignment vertical="center"/>
    </xf>
    <xf numFmtId="165" fontId="13" fillId="5" borderId="13" applyAlignment="1" pivotButton="0" quotePrefix="0" xfId="13">
      <alignment horizontal="right" vertical="center"/>
    </xf>
    <xf numFmtId="165" fontId="13" fillId="7" borderId="11" applyAlignment="1" applyProtection="1" pivotButton="0" quotePrefix="0" xfId="32">
      <alignment vertical="center" wrapText="1"/>
      <protection locked="0" hidden="0"/>
    </xf>
    <xf numFmtId="3" fontId="13" fillId="3" borderId="11" applyAlignment="1" pivotButton="0" quotePrefix="0" xfId="22">
      <alignment vertical="center"/>
    </xf>
    <xf numFmtId="165" fontId="13" fillId="5" borderId="11" applyAlignment="1" pivotButton="0" quotePrefix="0" xfId="13">
      <alignment horizontal="right" vertical="center"/>
    </xf>
    <xf numFmtId="3" fontId="13" fillId="5" borderId="13" applyAlignment="1" pivotButton="0" quotePrefix="0" xfId="13">
      <alignment horizontal="right" vertical="center"/>
    </xf>
    <xf numFmtId="3" fontId="25" fillId="5" borderId="8" applyAlignment="1" pivotButton="0" quotePrefix="0" xfId="32">
      <alignment horizontal="center" vertical="center"/>
    </xf>
    <xf numFmtId="3" fontId="13" fillId="3" borderId="13" applyAlignment="1" pivotButton="0" quotePrefix="0" xfId="32">
      <alignment vertical="center"/>
    </xf>
    <xf numFmtId="3" fontId="25" fillId="5" borderId="7" applyAlignment="1" pivotButton="0" quotePrefix="0" xfId="32">
      <alignment horizontal="right" vertical="center"/>
    </xf>
    <xf numFmtId="3" fontId="25" fillId="5" borderId="7" applyAlignment="1" pivotButton="0" quotePrefix="0" xfId="32">
      <alignment horizontal="center" vertical="center"/>
    </xf>
    <xf numFmtId="3" fontId="13" fillId="3" borderId="11" applyAlignment="1" pivotButton="0" quotePrefix="0" xfId="32">
      <alignment vertical="center"/>
    </xf>
    <xf numFmtId="1" fontId="13" fillId="5" borderId="13" applyAlignment="1" pivotButton="0" quotePrefix="0" xfId="32">
      <alignment vertical="center"/>
    </xf>
    <xf numFmtId="1" fontId="13" fillId="5" borderId="11" applyAlignment="1" pivotButton="0" quotePrefix="0" xfId="32">
      <alignment vertical="center"/>
    </xf>
    <xf numFmtId="0" fontId="13" fillId="3" borderId="13" applyAlignment="1" pivotButton="0" quotePrefix="0" xfId="32">
      <alignment vertical="center"/>
    </xf>
    <xf numFmtId="0" fontId="13" fillId="3" borderId="11" applyAlignment="1" pivotButton="0" quotePrefix="0" xfId="32">
      <alignment vertical="center"/>
    </xf>
    <xf numFmtId="168" fontId="13" fillId="15" borderId="7" applyAlignment="1" pivotButton="0" quotePrefix="0" xfId="32">
      <alignment horizontal="right" vertical="center"/>
    </xf>
    <xf numFmtId="0" fontId="13" fillId="5" borderId="13" applyAlignment="1" pivotButton="0" quotePrefix="0" xfId="31">
      <alignment vertical="center"/>
    </xf>
    <xf numFmtId="9" fontId="13" fillId="5" borderId="13" applyAlignment="1" pivotButton="0" quotePrefix="0" xfId="31">
      <alignment vertical="center"/>
    </xf>
    <xf numFmtId="9" fontId="13" fillId="5" borderId="13" applyAlignment="1" pivotButton="0" quotePrefix="0" xfId="13">
      <alignment horizontal="right" vertical="center"/>
    </xf>
    <xf numFmtId="9" fontId="13" fillId="5" borderId="7" applyAlignment="1" pivotButton="0" quotePrefix="0" xfId="22">
      <alignment vertical="center"/>
    </xf>
    <xf numFmtId="9" fontId="13" fillId="5" borderId="7" applyAlignment="1" pivotButton="0" quotePrefix="0" xfId="13">
      <alignment horizontal="right" vertical="center"/>
    </xf>
    <xf numFmtId="9" fontId="13" fillId="5" borderId="7" applyAlignment="1" pivotButton="0" quotePrefix="0" xfId="22">
      <alignment horizontal="right" vertical="center"/>
    </xf>
    <xf numFmtId="165" fontId="13" fillId="3" borderId="11" applyAlignment="1" pivotButton="0" quotePrefix="0" xfId="22">
      <alignment vertical="center"/>
    </xf>
    <xf numFmtId="176" fontId="13" fillId="0" borderId="0" pivotButton="0" quotePrefix="0" xfId="32"/>
    <xf numFmtId="3" fontId="13" fillId="0" borderId="0" pivotButton="0" quotePrefix="0" xfId="22"/>
    <xf numFmtId="177" fontId="13" fillId="0" borderId="0" applyAlignment="1" pivotButton="0" quotePrefix="0" xfId="13">
      <alignment horizontal="right"/>
    </xf>
    <xf numFmtId="1" fontId="13" fillId="15" borderId="7" applyAlignment="1" pivotButton="0" quotePrefix="0" xfId="13">
      <alignment horizontal="right" vertical="center"/>
    </xf>
    <xf numFmtId="9" fontId="13" fillId="15" borderId="7" applyAlignment="1" pivotButton="0" quotePrefix="0" xfId="31">
      <alignment horizontal="right" vertical="center"/>
    </xf>
    <xf numFmtId="3" fontId="13" fillId="3" borderId="49" applyAlignment="1" pivotButton="0" quotePrefix="0" xfId="22">
      <alignment vertical="center"/>
    </xf>
    <xf numFmtId="9" fontId="13" fillId="5" borderId="7" applyAlignment="1" pivotButton="0" quotePrefix="0" xfId="31">
      <alignment horizontal="right" vertical="center"/>
    </xf>
    <xf numFmtId="0" fontId="20" fillId="0" borderId="0" applyAlignment="1" pivotButton="0" quotePrefix="0" xfId="29">
      <alignment horizontal="center" vertical="center" wrapText="1"/>
    </xf>
    <xf numFmtId="1" fontId="13" fillId="5" borderId="7" applyAlignment="1" pivotButton="0" quotePrefix="0" xfId="13">
      <alignment horizontal="right" vertical="center"/>
    </xf>
    <xf numFmtId="9" fontId="13" fillId="5" borderId="8" applyAlignment="1" pivotButton="0" quotePrefix="0" xfId="31">
      <alignment horizontal="center" vertical="center"/>
    </xf>
    <xf numFmtId="9" fontId="13" fillId="5" borderId="51" applyAlignment="1" pivotButton="0" quotePrefix="0" xfId="31">
      <alignment horizontal="center" vertical="center"/>
    </xf>
    <xf numFmtId="3" fontId="13" fillId="3" borderId="9" applyAlignment="1" pivotButton="0" quotePrefix="0" xfId="22">
      <alignment vertical="center"/>
    </xf>
    <xf numFmtId="9" fontId="13" fillId="5" borderId="12" applyAlignment="1" pivotButton="0" quotePrefix="0" xfId="31">
      <alignment horizontal="center" vertical="center"/>
    </xf>
    <xf numFmtId="3" fontId="13" fillId="5" borderId="7" applyAlignment="1" pivotButton="0" quotePrefix="0" xfId="31">
      <alignment horizontal="center" vertical="center"/>
    </xf>
    <xf numFmtId="1" fontId="13" fillId="5" borderId="7" applyAlignment="1" pivotButton="0" quotePrefix="0" xfId="13">
      <alignment horizontal="right"/>
    </xf>
    <xf numFmtId="3" fontId="13" fillId="3" borderId="49" pivotButton="0" quotePrefix="0" xfId="22"/>
    <xf numFmtId="3" fontId="13" fillId="3" borderId="13" pivotButton="0" quotePrefix="0" xfId="22"/>
    <xf numFmtId="3" fontId="13" fillId="3" borderId="11" pivotButton="0" quotePrefix="0" xfId="22"/>
    <xf numFmtId="1" fontId="25" fillId="5" borderId="7" applyAlignment="1" pivotButton="0" quotePrefix="0" xfId="13">
      <alignment horizontal="right"/>
    </xf>
    <xf numFmtId="3" fontId="13" fillId="5" borderId="8" applyAlignment="1" pivotButton="0" quotePrefix="0" xfId="31">
      <alignment horizontal="center"/>
    </xf>
    <xf numFmtId="3" fontId="13" fillId="5" borderId="7" applyAlignment="1" pivotButton="0" quotePrefix="0" xfId="31">
      <alignment horizontal="center"/>
    </xf>
    <xf numFmtId="168" fontId="13" fillId="15" borderId="49" applyAlignment="1" pivotButton="0" quotePrefix="0" xfId="13">
      <alignment horizontal="right"/>
    </xf>
    <xf numFmtId="3" fontId="13" fillId="5" borderId="49" applyAlignment="1" pivotButton="0" quotePrefix="0" xfId="22">
      <alignment horizontal="center"/>
    </xf>
    <xf numFmtId="0" fontId="20" fillId="4" borderId="49" applyAlignment="1" applyProtection="1" pivotButton="0" quotePrefix="0" xfId="29">
      <alignment wrapText="1"/>
      <protection locked="0" hidden="0"/>
    </xf>
    <xf numFmtId="168" fontId="13" fillId="15" borderId="13" applyAlignment="1" pivotButton="0" quotePrefix="0" xfId="13">
      <alignment horizontal="right"/>
    </xf>
    <xf numFmtId="3" fontId="13" fillId="5" borderId="13" applyAlignment="1" pivotButton="0" quotePrefix="0" xfId="22">
      <alignment horizontal="center"/>
    </xf>
    <xf numFmtId="0" fontId="20" fillId="4" borderId="13" applyAlignment="1" applyProtection="1" pivotButton="0" quotePrefix="0" xfId="29">
      <alignment wrapText="1"/>
      <protection locked="0" hidden="0"/>
    </xf>
    <xf numFmtId="168" fontId="13" fillId="15" borderId="11" applyAlignment="1" pivotButton="0" quotePrefix="0" xfId="13">
      <alignment horizontal="right"/>
    </xf>
    <xf numFmtId="3" fontId="13" fillId="5" borderId="11" applyAlignment="1" pivotButton="0" quotePrefix="0" xfId="22">
      <alignment horizontal="center"/>
    </xf>
    <xf numFmtId="9" fontId="13" fillId="5" borderId="7" applyAlignment="1" pivotButton="0" quotePrefix="0" xfId="31">
      <alignment horizontal="right"/>
    </xf>
    <xf numFmtId="9" fontId="13" fillId="5" borderId="11" applyAlignment="1" pivotButton="0" quotePrefix="0" xfId="31">
      <alignment horizontal="right"/>
    </xf>
    <xf numFmtId="175" fontId="13" fillId="15" borderId="11" applyAlignment="1" pivotButton="0" quotePrefix="0" xfId="13">
      <alignment horizontal="right"/>
    </xf>
    <xf numFmtId="0" fontId="20" fillId="4" borderId="11" applyAlignment="1" applyProtection="1" pivotButton="0" quotePrefix="0" xfId="29">
      <alignment wrapText="1"/>
      <protection locked="0" hidden="0"/>
    </xf>
    <xf numFmtId="9" fontId="13" fillId="0" borderId="7" applyAlignment="1" pivotButton="0" quotePrefix="0" xfId="1">
      <alignment vertical="center"/>
    </xf>
    <xf numFmtId="3" fontId="49" fillId="0" borderId="0" applyAlignment="1" pivotButton="0" quotePrefix="0" xfId="22">
      <alignment vertical="center" wrapText="1"/>
    </xf>
    <xf numFmtId="3" fontId="13" fillId="0" borderId="0" applyAlignment="1" pivotButton="0" quotePrefix="0" xfId="22">
      <alignment vertical="center"/>
    </xf>
    <xf numFmtId="168" fontId="13" fillId="15" borderId="49" applyAlignment="1" pivotButton="0" quotePrefix="0" xfId="13">
      <alignment horizontal="right" vertical="center"/>
    </xf>
    <xf numFmtId="168" fontId="13" fillId="15" borderId="49" applyAlignment="1" pivotButton="0" quotePrefix="0" xfId="13">
      <alignment horizontal="center" vertical="center"/>
    </xf>
    <xf numFmtId="168" fontId="13" fillId="15" borderId="13" applyAlignment="1" pivotButton="0" quotePrefix="0" xfId="13">
      <alignment horizontal="right" vertical="center"/>
    </xf>
    <xf numFmtId="168" fontId="13" fillId="15" borderId="13" applyAlignment="1" pivotButton="0" quotePrefix="0" xfId="13">
      <alignment horizontal="center" vertical="center"/>
    </xf>
    <xf numFmtId="168" fontId="13" fillId="15" borderId="11" applyAlignment="1" pivotButton="0" quotePrefix="0" xfId="13">
      <alignment horizontal="right" vertical="center"/>
    </xf>
    <xf numFmtId="168" fontId="13" fillId="15" borderId="11" applyAlignment="1" pivotButton="0" quotePrefix="0" xfId="13">
      <alignment horizontal="center" vertical="center"/>
    </xf>
    <xf numFmtId="0" fontId="38" fillId="0" borderId="0" pivotButton="0" quotePrefix="0" xfId="29"/>
    <xf numFmtId="0" fontId="13" fillId="0" borderId="0" pivotButton="0" quotePrefix="0" xfId="17"/>
    <xf numFmtId="174" fontId="25" fillId="5" borderId="7" applyAlignment="1" pivotButton="0" quotePrefix="0" xfId="22">
      <alignment horizontal="center" vertical="center"/>
    </xf>
    <xf numFmtId="0" fontId="38" fillId="0" borderId="0" applyAlignment="1" pivotButton="0" quotePrefix="0" xfId="29">
      <alignment vertical="center"/>
    </xf>
    <xf numFmtId="10" fontId="13" fillId="0" borderId="54" applyAlignment="1" pivotButton="0" quotePrefix="0" xfId="31">
      <alignment horizontal="center" vertical="center"/>
    </xf>
    <xf numFmtId="165" fontId="13" fillId="5" borderId="9" applyAlignment="1" pivotButton="0" quotePrefix="0" xfId="21">
      <alignment vertical="center"/>
    </xf>
    <xf numFmtId="165" fontId="13" fillId="5" borderId="9" applyAlignment="1" pivotButton="0" quotePrefix="0" xfId="22">
      <alignment vertical="center"/>
    </xf>
    <xf numFmtId="10" fontId="13" fillId="5" borderId="7" applyAlignment="1" pivotButton="0" quotePrefix="0" xfId="31">
      <alignment vertical="center"/>
    </xf>
    <xf numFmtId="178" fontId="13" fillId="0" borderId="0" pivotButton="0" quotePrefix="0" xfId="31"/>
    <xf numFmtId="179" fontId="38" fillId="0" borderId="0" pivotButton="0" quotePrefix="0" xfId="31"/>
    <xf numFmtId="10" fontId="13" fillId="0" borderId="0" pivotButton="0" quotePrefix="0" xfId="29"/>
    <xf numFmtId="179" fontId="13" fillId="0" borderId="0" pivotButton="0" quotePrefix="0" xfId="31"/>
    <xf numFmtId="178" fontId="13" fillId="0" borderId="0" pivotButton="0" quotePrefix="0" xfId="31"/>
    <xf numFmtId="3" fontId="13" fillId="5" borderId="49" applyAlignment="1" pivotButton="0" quotePrefix="0" xfId="22">
      <alignment horizontal="center" vertical="center"/>
    </xf>
    <xf numFmtId="0" fontId="20" fillId="4" borderId="7" applyAlignment="1" applyProtection="1" pivotButton="0" quotePrefix="0" xfId="29">
      <alignment wrapText="1"/>
      <protection locked="0" hidden="0"/>
    </xf>
    <xf numFmtId="168" fontId="13" fillId="15" borderId="7" applyAlignment="1" pivotButton="0" quotePrefix="0" xfId="13">
      <alignment horizontal="right" vertical="center"/>
    </xf>
    <xf numFmtId="0" fontId="25" fillId="0" borderId="0" applyAlignment="1" pivotButton="0" quotePrefix="0" xfId="5">
      <alignment vertical="top"/>
    </xf>
    <xf numFmtId="3" fontId="13" fillId="5" borderId="7" applyAlignment="1" pivotButton="0" quotePrefix="0" xfId="22">
      <alignment vertical="center"/>
    </xf>
    <xf numFmtId="0" fontId="20" fillId="2" borderId="0" pivotButton="0" quotePrefix="0" xfId="29"/>
    <xf numFmtId="0" fontId="20" fillId="2" borderId="0" applyAlignment="1" pivotButton="0" quotePrefix="0" xfId="29">
      <alignment vertical="center"/>
    </xf>
    <xf numFmtId="10" fontId="20" fillId="5" borderId="51" applyAlignment="1" pivotButton="0" quotePrefix="0" xfId="31">
      <alignment vertical="center"/>
    </xf>
    <xf numFmtId="10" fontId="20" fillId="5" borderId="10" applyAlignment="1" pivotButton="0" quotePrefix="0" xfId="31">
      <alignment vertical="center"/>
    </xf>
    <xf numFmtId="10" fontId="20" fillId="5" borderId="53" applyAlignment="1" pivotButton="0" quotePrefix="0" xfId="31">
      <alignment vertical="center"/>
    </xf>
    <xf numFmtId="10" fontId="20" fillId="7" borderId="10" applyAlignment="1" applyProtection="1" pivotButton="0" quotePrefix="0" xfId="29">
      <alignment vertical="center" wrapText="1"/>
      <protection locked="0" hidden="0"/>
    </xf>
    <xf numFmtId="10" fontId="20" fillId="7" borderId="53" applyAlignment="1" applyProtection="1" pivotButton="0" quotePrefix="0" xfId="29">
      <alignment vertical="center" wrapText="1"/>
      <protection locked="0" hidden="0"/>
    </xf>
    <xf numFmtId="10" fontId="20" fillId="7" borderId="51" applyAlignment="1" applyProtection="1" pivotButton="0" quotePrefix="0" xfId="29">
      <alignment vertical="center" wrapText="1"/>
      <protection locked="0" hidden="0"/>
    </xf>
    <xf numFmtId="10" fontId="20" fillId="7" borderId="0" applyAlignment="1" applyProtection="1" pivotButton="0" quotePrefix="0" xfId="29">
      <alignment vertical="center" wrapText="1"/>
      <protection locked="0" hidden="0"/>
    </xf>
    <xf numFmtId="10" fontId="20" fillId="7" borderId="54" applyAlignment="1" applyProtection="1" pivotButton="0" quotePrefix="0" xfId="29">
      <alignment vertical="center" wrapText="1"/>
      <protection locked="0" hidden="0"/>
    </xf>
    <xf numFmtId="10" fontId="20" fillId="2" borderId="0" pivotButton="0" quotePrefix="0" xfId="29"/>
    <xf numFmtId="10" fontId="20" fillId="5" borderId="52" applyAlignment="1" pivotButton="0" quotePrefix="0" xfId="31">
      <alignment vertical="center"/>
    </xf>
    <xf numFmtId="10" fontId="20" fillId="5" borderId="0" applyAlignment="1" pivotButton="0" quotePrefix="0" xfId="31">
      <alignment vertical="center"/>
    </xf>
    <xf numFmtId="10" fontId="20" fillId="5" borderId="54" applyAlignment="1" pivotButton="0" quotePrefix="0" xfId="31">
      <alignment vertical="center"/>
    </xf>
    <xf numFmtId="10" fontId="20" fillId="7" borderId="52" applyAlignment="1" applyProtection="1" pivotButton="0" quotePrefix="0" xfId="29">
      <alignment vertical="center" wrapText="1"/>
      <protection locked="0" hidden="0"/>
    </xf>
    <xf numFmtId="10" fontId="58" fillId="7" borderId="0" applyAlignment="1" applyProtection="1" pivotButton="0" quotePrefix="0" xfId="29">
      <alignment vertical="center" wrapText="1"/>
      <protection locked="0" hidden="0"/>
    </xf>
    <xf numFmtId="10" fontId="58" fillId="7" borderId="54" applyAlignment="1" applyProtection="1" pivotButton="0" quotePrefix="0" xfId="29">
      <alignment vertical="center" wrapText="1"/>
      <protection locked="0" hidden="0"/>
    </xf>
    <xf numFmtId="180" fontId="20" fillId="2" borderId="0" pivotButton="0" quotePrefix="0" xfId="29"/>
    <xf numFmtId="10" fontId="20" fillId="5" borderId="50" applyAlignment="1" pivotButton="0" quotePrefix="0" xfId="31">
      <alignment vertical="center"/>
    </xf>
    <xf numFmtId="10" fontId="20" fillId="5" borderId="6" applyAlignment="1" pivotButton="0" quotePrefix="0" xfId="31">
      <alignment vertical="center"/>
    </xf>
    <xf numFmtId="10" fontId="20" fillId="5" borderId="12" applyAlignment="1" pivotButton="0" quotePrefix="0" xfId="31">
      <alignment vertical="center"/>
    </xf>
    <xf numFmtId="10" fontId="20" fillId="7" borderId="6" applyAlignment="1" applyProtection="1" pivotButton="0" quotePrefix="0" xfId="29">
      <alignment vertical="center" wrapText="1"/>
      <protection locked="0" hidden="0"/>
    </xf>
    <xf numFmtId="10" fontId="20" fillId="7" borderId="12" applyAlignment="1" applyProtection="1" pivotButton="0" quotePrefix="0" xfId="29">
      <alignment vertical="center" wrapText="1"/>
      <protection locked="0" hidden="0"/>
    </xf>
    <xf numFmtId="10" fontId="20" fillId="7" borderId="50" applyAlignment="1" applyProtection="1" pivotButton="0" quotePrefix="0" xfId="29">
      <alignment vertical="center" wrapText="1"/>
      <protection locked="0" hidden="0"/>
    </xf>
    <xf numFmtId="3" fontId="13" fillId="0" borderId="0" pivotButton="0" quotePrefix="0" xfId="23"/>
    <xf numFmtId="0" fontId="54" fillId="0" borderId="0" applyAlignment="1" pivotButton="0" quotePrefix="0" xfId="17">
      <alignment horizontal="left" vertical="center"/>
    </xf>
    <xf numFmtId="0" fontId="40" fillId="0" borderId="0" pivotButton="0" quotePrefix="0" xfId="20"/>
    <xf numFmtId="0" fontId="13" fillId="0" borderId="7" applyAlignment="1" pivotButton="0" quotePrefix="0" xfId="22">
      <alignment vertical="center" wrapText="1"/>
    </xf>
    <xf numFmtId="169" fontId="13" fillId="0" borderId="6" applyAlignment="1" pivotButton="0" quotePrefix="0" xfId="13">
      <alignment horizontal="right"/>
    </xf>
    <xf numFmtId="0" fontId="13" fillId="9" borderId="7" applyAlignment="1" applyProtection="1" pivotButton="0" quotePrefix="0" xfId="17">
      <alignment horizontal="center" vertical="center" wrapText="1"/>
      <protection locked="0" hidden="0"/>
    </xf>
    <xf numFmtId="3" fontId="13" fillId="0" borderId="0" applyAlignment="1" pivotButton="0" quotePrefix="0" xfId="13">
      <alignment horizontal="center" vertical="center"/>
    </xf>
    <xf numFmtId="166" fontId="13" fillId="15" borderId="7" applyAlignment="1" pivotButton="0" quotePrefix="0" xfId="13">
      <alignment horizontal="right" vertical="center"/>
    </xf>
    <xf numFmtId="0" fontId="13" fillId="0" borderId="7" applyAlignment="1" pivotButton="0" quotePrefix="0" xfId="22">
      <alignment wrapText="1"/>
    </xf>
    <xf numFmtId="0" fontId="13" fillId="0" borderId="7" applyAlignment="1" pivotButton="0" quotePrefix="0" xfId="22">
      <alignment horizontal="left" vertical="top" wrapText="1"/>
    </xf>
    <xf numFmtId="0" fontId="13" fillId="0" borderId="7" applyAlignment="1" pivotButton="0" quotePrefix="0" xfId="22">
      <alignment vertical="top" wrapText="1"/>
    </xf>
    <xf numFmtId="0" fontId="13" fillId="0" borderId="7" applyAlignment="1" pivotButton="0" quotePrefix="0" xfId="13">
      <alignment horizontal="left" vertical="top"/>
    </xf>
    <xf numFmtId="0" fontId="13" fillId="0" borderId="7" applyAlignment="1" pivotButton="0" quotePrefix="0" xfId="22">
      <alignment horizontal="left" vertical="center" wrapText="1"/>
    </xf>
    <xf numFmtId="0" fontId="13" fillId="4" borderId="7" applyAlignment="1" applyProtection="1" pivotButton="0" quotePrefix="0" xfId="20">
      <alignment vertical="center" wrapText="1"/>
      <protection locked="0" hidden="0"/>
    </xf>
    <xf numFmtId="168" fontId="13" fillId="5" borderId="7" applyAlignment="1" pivotButton="0" quotePrefix="0" xfId="18">
      <alignment horizontal="center" vertical="center"/>
    </xf>
    <xf numFmtId="165" fontId="13" fillId="3" borderId="7" applyAlignment="1" pivotButton="0" quotePrefix="0" xfId="21">
      <alignment vertical="center" wrapText="1"/>
    </xf>
    <xf numFmtId="165" fontId="13" fillId="3" borderId="7" applyAlignment="1" pivotButton="0" quotePrefix="0" xfId="21">
      <alignment vertical="center"/>
    </xf>
    <xf numFmtId="165" fontId="13" fillId="0" borderId="0" pivotButton="0" quotePrefix="0" xfId="21"/>
    <xf numFmtId="165" fontId="13" fillId="0" borderId="0" applyAlignment="1" pivotButton="0" quotePrefix="0" xfId="21">
      <alignment horizontal="right"/>
    </xf>
    <xf numFmtId="165" fontId="13" fillId="18" borderId="7" pivotButton="0" quotePrefix="0" xfId="21"/>
    <xf numFmtId="165" fontId="13" fillId="18" borderId="7" applyAlignment="1" pivotButton="0" quotePrefix="0" xfId="21">
      <alignment horizontal="right"/>
    </xf>
    <xf numFmtId="0" fontId="13" fillId="0" borderId="0" applyAlignment="1" pivotButton="0" quotePrefix="0" xfId="13">
      <alignment horizontal="right"/>
    </xf>
    <xf numFmtId="165" fontId="13" fillId="5" borderId="7" applyAlignment="1" pivotButton="0" quotePrefix="1" xfId="21">
      <alignment vertical="center"/>
    </xf>
    <xf numFmtId="0" fontId="20" fillId="0" borderId="0" applyAlignment="1" pivotButton="0" quotePrefix="0" xfId="8">
      <alignment horizontal="center" wrapText="1"/>
    </xf>
    <xf numFmtId="0" fontId="20" fillId="0" borderId="0" pivotButton="0" quotePrefix="0" xfId="8"/>
    <xf numFmtId="0" fontId="13" fillId="4" borderId="7" applyAlignment="1" applyProtection="1" pivotButton="0" quotePrefix="0" xfId="17">
      <alignment horizontal="left" vertical="center" wrapText="1" indent="1"/>
      <protection locked="0" hidden="0"/>
    </xf>
    <xf numFmtId="165" fontId="13" fillId="7" borderId="7" applyAlignment="1" applyProtection="1" pivotButton="0" quotePrefix="0" xfId="17">
      <alignment horizontal="left" vertical="center" wrapText="1" indent="1"/>
      <protection locked="0" hidden="0"/>
    </xf>
    <xf numFmtId="0" fontId="20" fillId="2" borderId="0" pivotButton="0" quotePrefix="0" xfId="34"/>
    <xf numFmtId="0" fontId="20" fillId="2" borderId="0" applyAlignment="1" pivotButton="0" quotePrefix="0" xfId="34">
      <alignment vertical="center"/>
    </xf>
    <xf numFmtId="169" fontId="13" fillId="25" borderId="7" pivotButton="0" quotePrefix="0" xfId="22"/>
    <xf numFmtId="167" fontId="13" fillId="25" borderId="7" applyAlignment="1" pivotButton="0" quotePrefix="0" xfId="21">
      <alignment vertical="center"/>
    </xf>
    <xf numFmtId="165" fontId="13" fillId="5" borderId="9" applyAlignment="1" pivotButton="0" quotePrefix="0" xfId="21">
      <alignment horizontal="right" vertical="center"/>
    </xf>
    <xf numFmtId="165" fontId="13" fillId="18" borderId="7" applyAlignment="1" pivotButton="0" quotePrefix="0" xfId="21">
      <alignment vertical="center"/>
    </xf>
    <xf numFmtId="165" fontId="13" fillId="18" borderId="9" applyAlignment="1" pivotButton="0" quotePrefix="0" xfId="21">
      <alignment vertical="center"/>
    </xf>
    <xf numFmtId="165" fontId="13" fillId="7" borderId="9" applyAlignment="1" applyProtection="1" pivotButton="0" quotePrefix="0" xfId="21">
      <alignment vertical="center" wrapText="1"/>
      <protection locked="0" hidden="0"/>
    </xf>
    <xf numFmtId="165" fontId="13" fillId="5" borderId="9" applyAlignment="1" pivotButton="0" quotePrefix="0" xfId="35">
      <alignment horizontal="right" vertical="center"/>
    </xf>
    <xf numFmtId="167" fontId="20" fillId="0" borderId="0" applyAlignment="1" pivotButton="0" quotePrefix="0" xfId="21">
      <alignment vertical="center"/>
    </xf>
    <xf numFmtId="178" fontId="13" fillId="5" borderId="7" applyAlignment="1" pivotButton="0" quotePrefix="0" xfId="13">
      <alignment horizontal="right" vertical="center"/>
    </xf>
    <xf numFmtId="169" fontId="49" fillId="5" borderId="9" applyAlignment="1" pivotButton="0" quotePrefix="0" xfId="13">
      <alignment horizontal="center"/>
    </xf>
    <xf numFmtId="0" fontId="49" fillId="0" borderId="9" applyAlignment="1" pivotButton="0" quotePrefix="0" xfId="13">
      <alignment horizontal="center"/>
    </xf>
    <xf numFmtId="169" fontId="13" fillId="0" borderId="54" applyAlignment="1" pivotButton="0" quotePrefix="0" xfId="13">
      <alignment horizontal="right"/>
    </xf>
    <xf numFmtId="169" fontId="13" fillId="2" borderId="27" applyAlignment="1" pivotButton="0" quotePrefix="0" xfId="22">
      <alignment horizontal="center"/>
    </xf>
    <xf numFmtId="169" fontId="13" fillId="3" borderId="27" applyAlignment="1" pivotButton="0" quotePrefix="0" xfId="22">
      <alignment horizontal="center"/>
    </xf>
    <xf numFmtId="165" fontId="25" fillId="7" borderId="7" applyAlignment="1" applyProtection="1" pivotButton="0" quotePrefix="0" xfId="0">
      <alignment vertical="center" wrapText="1"/>
      <protection locked="0" hidden="0"/>
    </xf>
    <xf numFmtId="165" fontId="13" fillId="7" borderId="7" applyAlignment="1" applyProtection="1" pivotButton="0" quotePrefix="1" xfId="0">
      <alignment vertical="center" wrapText="1"/>
      <protection locked="0" hidden="0"/>
    </xf>
    <xf numFmtId="181" fontId="13" fillId="7" borderId="7" applyAlignment="1" applyProtection="1" pivotButton="0" quotePrefix="0" xfId="0">
      <alignment horizontal="center" vertical="center" wrapText="1"/>
      <protection locked="0" hidden="0"/>
    </xf>
    <xf numFmtId="165" fontId="25" fillId="5" borderId="7" applyAlignment="1" pivotButton="0" quotePrefix="0" xfId="21">
      <alignment vertical="center"/>
    </xf>
    <xf numFmtId="165" fontId="25" fillId="7" borderId="7" applyAlignment="1" applyProtection="1" pivotButton="0" quotePrefix="0" xfId="21">
      <alignment vertical="center" wrapText="1"/>
      <protection locked="0" hidden="0"/>
    </xf>
    <xf numFmtId="165" fontId="25" fillId="18" borderId="7" applyAlignment="1" pivotButton="0" quotePrefix="0" xfId="21">
      <alignment vertical="center"/>
    </xf>
    <xf numFmtId="165" fontId="13" fillId="7" borderId="7" applyAlignment="1" applyProtection="1" pivotButton="0" quotePrefix="1" xfId="21">
      <alignment vertical="center" wrapText="1"/>
      <protection locked="0" hidden="0"/>
    </xf>
    <xf numFmtId="165" fontId="13" fillId="0" borderId="7" applyAlignment="1" pivotButton="0" quotePrefix="0" xfId="21">
      <alignment vertical="center"/>
    </xf>
    <xf numFmtId="0" fontId="25" fillId="0" borderId="0" pivotButton="0" quotePrefix="0" xfId="0"/>
    <xf numFmtId="0" fontId="20" fillId="0" borderId="0" applyAlignment="1" pivotButton="0" quotePrefix="0" xfId="0">
      <alignment wrapText="1"/>
    </xf>
    <xf numFmtId="167" fontId="20" fillId="5" borderId="7" applyAlignment="1" pivotButton="0" quotePrefix="0" xfId="21">
      <alignment horizontal="center" vertical="center"/>
    </xf>
    <xf numFmtId="0" fontId="54" fillId="0" borderId="0" pivotButton="0" quotePrefix="0" xfId="23"/>
    <xf numFmtId="182" fontId="13" fillId="18" borderId="7" applyAlignment="1" pivotButton="0" quotePrefix="0" xfId="1">
      <alignment horizontal="right" vertical="center"/>
    </xf>
    <xf numFmtId="182" fontId="20" fillId="18" borderId="7" applyAlignment="1" pivotButton="0" quotePrefix="0" xfId="1">
      <alignment horizontal="right" vertical="center"/>
    </xf>
    <xf numFmtId="9" fontId="13" fillId="18" borderId="7" applyAlignment="1" pivotButton="0" quotePrefix="0" xfId="1">
      <alignment vertical="center"/>
    </xf>
    <xf numFmtId="0" fontId="20" fillId="0" borderId="0" pivotButton="0" quotePrefix="0" xfId="28"/>
    <xf numFmtId="165" fontId="24" fillId="5" borderId="11" applyAlignment="1" pivotButton="0" quotePrefix="0" xfId="21">
      <alignment vertical="center"/>
    </xf>
    <xf numFmtId="165" fontId="68" fillId="5" borderId="11" applyAlignment="1" pivotButton="0" quotePrefix="0" xfId="21">
      <alignment vertical="center"/>
    </xf>
    <xf numFmtId="165" fontId="68" fillId="5" borderId="7" applyAlignment="1" pivotButton="0" quotePrefix="0" xfId="21">
      <alignment vertical="center"/>
    </xf>
    <xf numFmtId="167" fontId="20" fillId="0" borderId="0" pivotButton="0" quotePrefix="0" xfId="21"/>
    <xf numFmtId="165" fontId="20" fillId="5" borderId="11" applyAlignment="1" pivotButton="0" quotePrefix="0" xfId="21">
      <alignment vertical="center"/>
    </xf>
    <xf numFmtId="165" fontId="20" fillId="3" borderId="11" applyAlignment="1" pivotButton="0" quotePrefix="0" xfId="21">
      <alignment vertical="center"/>
    </xf>
    <xf numFmtId="0" fontId="69" fillId="0" borderId="0" pivotButton="0" quotePrefix="0" xfId="0"/>
    <xf numFmtId="9" fontId="13" fillId="5" borderId="7" applyAlignment="1" pivotButton="0" quotePrefix="0" xfId="1">
      <alignment horizontal="right" vertical="center"/>
    </xf>
    <xf numFmtId="165" fontId="20" fillId="0" borderId="0" applyAlignment="1" pivotButton="0" quotePrefix="0" xfId="21">
      <alignment vertical="center"/>
    </xf>
    <xf numFmtId="3" fontId="13" fillId="18" borderId="7" applyAlignment="1" pivotButton="0" quotePrefix="0" xfId="13">
      <alignment horizontal="right" vertical="center"/>
    </xf>
    <xf numFmtId="0" fontId="49" fillId="9" borderId="13" applyAlignment="1" applyProtection="1" pivotButton="0" quotePrefix="0" xfId="17">
      <alignment horizontal="left" vertical="center" wrapText="1" indent="2"/>
      <protection locked="0" hidden="0"/>
    </xf>
    <xf numFmtId="165" fontId="25" fillId="5" borderId="7" applyAlignment="1" pivotButton="0" quotePrefix="0" xfId="21">
      <alignment horizontal="right" vertical="center"/>
    </xf>
    <xf numFmtId="0" fontId="13" fillId="5" borderId="7" applyAlignment="1" pivotButton="0" quotePrefix="0" xfId="13">
      <alignment horizontal="left"/>
    </xf>
    <xf numFmtId="169" fontId="13" fillId="0" borderId="0" applyAlignment="1" pivotButton="0" quotePrefix="0" xfId="13">
      <alignment horizontal="right"/>
    </xf>
    <xf numFmtId="169" fontId="25" fillId="0" borderId="0" applyAlignment="1" pivotButton="0" quotePrefix="0" xfId="13">
      <alignment horizontal="right"/>
    </xf>
    <xf numFmtId="165" fontId="29" fillId="5" borderId="7" applyAlignment="1" pivotButton="0" quotePrefix="0" xfId="21">
      <alignment horizontal="center" vertical="center"/>
    </xf>
    <xf numFmtId="165" fontId="20" fillId="5" borderId="7" applyAlignment="1" pivotButton="0" quotePrefix="0" xfId="35">
      <alignment vertical="center"/>
    </xf>
    <xf numFmtId="165" fontId="13" fillId="18" borderId="7" applyAlignment="1" pivotButton="0" quotePrefix="0" xfId="35">
      <alignment horizontal="center" vertical="center"/>
    </xf>
    <xf numFmtId="165" fontId="20" fillId="4" borderId="7" applyAlignment="1" applyProtection="1" pivotButton="0" quotePrefix="0" xfId="0">
      <alignment vertical="center" wrapText="1"/>
      <protection locked="0" hidden="0"/>
    </xf>
    <xf numFmtId="165" fontId="20" fillId="7" borderId="7" applyAlignment="1" applyProtection="1" pivotButton="0" quotePrefix="0" xfId="35">
      <alignment vertical="center" wrapText="1"/>
      <protection locked="0" hidden="0"/>
    </xf>
    <xf numFmtId="165" fontId="20" fillId="9" borderId="7" applyAlignment="1" applyProtection="1" pivotButton="0" quotePrefix="0" xfId="35">
      <alignment vertical="center" wrapText="1"/>
      <protection locked="0" hidden="0"/>
    </xf>
    <xf numFmtId="165" fontId="13" fillId="5" borderId="7" applyAlignment="1" pivotButton="0" quotePrefix="0" xfId="35">
      <alignment horizontal="center" vertical="center"/>
    </xf>
    <xf numFmtId="183" fontId="20" fillId="0" borderId="0" pivotButton="0" quotePrefix="0" xfId="35"/>
    <xf numFmtId="0" fontId="70" fillId="0" borderId="0" pivotButton="0" quotePrefix="0" xfId="0"/>
    <xf numFmtId="0" fontId="13" fillId="0" borderId="0" pivotButton="0" quotePrefix="0" xfId="39"/>
    <xf numFmtId="168" fontId="25" fillId="15" borderId="7" applyAlignment="1" pivotButton="0" quotePrefix="0" xfId="21">
      <alignment horizontal="right" vertical="center"/>
    </xf>
    <xf numFmtId="0" fontId="25" fillId="0" borderId="0" pivotButton="0" quotePrefix="0" xfId="39"/>
    <xf numFmtId="182" fontId="13" fillId="5" borderId="7" applyAlignment="1" pivotButton="0" quotePrefix="0" xfId="22">
      <alignment vertical="center"/>
    </xf>
    <xf numFmtId="167" fontId="54" fillId="0" borderId="0" pivotButton="0" quotePrefix="0" xfId="21"/>
    <xf numFmtId="0" fontId="71" fillId="0" borderId="0" pivotButton="0" quotePrefix="0" xfId="39"/>
    <xf numFmtId="0" fontId="25" fillId="0" borderId="0" pivotButton="0" quotePrefix="0" xfId="23"/>
    <xf numFmtId="168" fontId="25" fillId="5" borderId="7" applyAlignment="1" pivotButton="0" quotePrefix="0" xfId="21">
      <alignment vertical="center"/>
    </xf>
    <xf numFmtId="165" fontId="13" fillId="5" borderId="7" applyAlignment="1" pivotButton="0" quotePrefix="0" xfId="21">
      <alignment horizontal="center" vertical="center"/>
    </xf>
    <xf numFmtId="0" fontId="40" fillId="0" borderId="0" pivotButton="0" quotePrefix="0" xfId="39"/>
    <xf numFmtId="165" fontId="25" fillId="15" borderId="49" applyAlignment="1" pivotButton="0" quotePrefix="0" xfId="21">
      <alignment horizontal="right" vertical="center"/>
    </xf>
    <xf numFmtId="0" fontId="70" fillId="0" borderId="0" pivotButton="0" quotePrefix="0" xfId="39"/>
    <xf numFmtId="0" fontId="72" fillId="0" borderId="0" pivotButton="0" quotePrefix="0" xfId="39"/>
    <xf numFmtId="0" fontId="31" fillId="0" borderId="0" pivotButton="0" quotePrefix="0" xfId="39"/>
    <xf numFmtId="0" fontId="38" fillId="0" borderId="0" pivotButton="0" quotePrefix="0" xfId="39"/>
    <xf numFmtId="168" fontId="20" fillId="5" borderId="8" applyAlignment="1" pivotButton="0" quotePrefix="0" xfId="40">
      <alignment vertical="center"/>
    </xf>
    <xf numFmtId="168" fontId="13" fillId="5" borderId="8" applyAlignment="1" pivotButton="0" quotePrefix="0" xfId="40">
      <alignment vertical="center"/>
    </xf>
    <xf numFmtId="169" fontId="20" fillId="7" borderId="7" applyAlignment="1" applyProtection="1" pivotButton="0" quotePrefix="0" xfId="23">
      <alignment vertical="center" wrapText="1"/>
      <protection locked="0" hidden="0"/>
    </xf>
    <xf numFmtId="167" fontId="20" fillId="5" borderId="7" applyAlignment="1" pivotButton="0" quotePrefix="0" xfId="40">
      <alignment vertical="center"/>
    </xf>
    <xf numFmtId="168" fontId="20" fillId="5" borderId="9" applyAlignment="1" pivotButton="0" quotePrefix="0" xfId="40">
      <alignment vertical="center"/>
    </xf>
    <xf numFmtId="169" fontId="20" fillId="7" borderId="50" applyAlignment="1" applyProtection="1" pivotButton="0" quotePrefix="0" xfId="23">
      <alignment vertical="center" wrapText="1"/>
      <protection locked="0" hidden="0"/>
    </xf>
    <xf numFmtId="167" fontId="20" fillId="5" borderId="11" applyAlignment="1" pivotButton="0" quotePrefix="0" xfId="40">
      <alignment vertical="center"/>
    </xf>
    <xf numFmtId="168" fontId="20" fillId="5" borderId="12" applyAlignment="1" pivotButton="0" quotePrefix="0" xfId="40">
      <alignment vertical="center"/>
    </xf>
    <xf numFmtId="169" fontId="13" fillId="7" borderId="7" applyAlignment="1" applyProtection="1" pivotButton="0" quotePrefix="0" xfId="23">
      <alignment vertical="center" wrapText="1"/>
      <protection locked="0" hidden="0"/>
    </xf>
    <xf numFmtId="167" fontId="13" fillId="5" borderId="7" applyAlignment="1" pivotButton="0" quotePrefix="0" xfId="40">
      <alignment vertical="center"/>
    </xf>
    <xf numFmtId="168" fontId="13" fillId="5" borderId="9" applyAlignment="1" pivotButton="0" quotePrefix="0" xfId="40">
      <alignment vertical="center"/>
    </xf>
    <xf numFmtId="169" fontId="13" fillId="7" borderId="50" applyAlignment="1" applyProtection="1" pivotButton="0" quotePrefix="0" xfId="23">
      <alignment vertical="center" wrapText="1"/>
      <protection locked="0" hidden="0"/>
    </xf>
    <xf numFmtId="167" fontId="13" fillId="5" borderId="11" applyAlignment="1" pivotButton="0" quotePrefix="0" xfId="40">
      <alignment vertical="center"/>
    </xf>
    <xf numFmtId="168" fontId="13" fillId="5" borderId="12" applyAlignment="1" pivotButton="0" quotePrefix="0" xfId="40">
      <alignment vertical="center"/>
    </xf>
    <xf numFmtId="0" fontId="13" fillId="3" borderId="8" applyAlignment="1" pivotButton="0" quotePrefix="0" xfId="40">
      <alignment vertical="center"/>
    </xf>
    <xf numFmtId="168" fontId="13" fillId="5" borderId="7" applyAlignment="1" pivotButton="0" quotePrefix="0" xfId="40">
      <alignment vertical="center"/>
    </xf>
    <xf numFmtId="169" fontId="13" fillId="7" borderId="9" applyAlignment="1" applyProtection="1" pivotButton="0" quotePrefix="0" xfId="23">
      <alignment vertical="center" wrapText="1"/>
      <protection locked="0" hidden="0"/>
    </xf>
    <xf numFmtId="168" fontId="13" fillId="5" borderId="11" applyAlignment="1" pivotButton="0" quotePrefix="0" xfId="40">
      <alignment vertical="center"/>
    </xf>
    <xf numFmtId="168" fontId="20" fillId="7" borderId="49" applyAlignment="1" applyProtection="1" pivotButton="0" quotePrefix="0" xfId="21">
      <alignment vertical="center" wrapText="1"/>
      <protection locked="0" hidden="0"/>
    </xf>
    <xf numFmtId="168" fontId="20" fillId="5" borderId="49" applyAlignment="1" pivotButton="0" quotePrefix="0" xfId="21">
      <alignment vertical="center"/>
    </xf>
    <xf numFmtId="168" fontId="20" fillId="7" borderId="13" applyAlignment="1" applyProtection="1" pivotButton="0" quotePrefix="0" xfId="21">
      <alignment vertical="center" wrapText="1"/>
      <protection locked="0" hidden="0"/>
    </xf>
    <xf numFmtId="168" fontId="20" fillId="5" borderId="13" applyAlignment="1" pivotButton="0" quotePrefix="0" xfId="21">
      <alignment vertical="center"/>
    </xf>
    <xf numFmtId="168" fontId="20" fillId="7" borderId="11" applyAlignment="1" applyProtection="1" pivotButton="0" quotePrefix="0" xfId="21">
      <alignment vertical="center" wrapText="1"/>
      <protection locked="0" hidden="0"/>
    </xf>
    <xf numFmtId="168" fontId="20" fillId="5" borderId="11" applyAlignment="1" pivotButton="0" quotePrefix="0" xfId="21">
      <alignment vertical="center"/>
    </xf>
    <xf numFmtId="0" fontId="20" fillId="3" borderId="13" applyAlignment="1" pivotButton="0" quotePrefix="0" xfId="21">
      <alignment vertical="center"/>
    </xf>
    <xf numFmtId="0" fontId="71" fillId="0" borderId="0" pivotButton="0" quotePrefix="0" xfId="23"/>
    <xf numFmtId="182" fontId="13" fillId="0" borderId="0" pivotButton="0" quotePrefix="0" xfId="23"/>
    <xf numFmtId="0" fontId="43" fillId="0" borderId="0" pivotButton="0" quotePrefix="0" xfId="0"/>
    <xf numFmtId="165" fontId="13" fillId="5" borderId="7" applyAlignment="1" pivotButton="0" quotePrefix="1" xfId="21">
      <alignment horizontal="right" vertical="center"/>
    </xf>
    <xf numFmtId="0" fontId="38" fillId="0" borderId="0" pivotButton="0" quotePrefix="0" xfId="23"/>
    <xf numFmtId="0" fontId="13" fillId="0" borderId="0" applyAlignment="1" pivotButton="0" quotePrefix="0" xfId="17">
      <alignment horizontal="left" wrapText="1"/>
    </xf>
    <xf numFmtId="0" fontId="26" fillId="0" borderId="0" pivotButton="0" quotePrefix="0" xfId="23"/>
    <xf numFmtId="169" fontId="13" fillId="5" borderId="7" applyAlignment="1" pivotButton="0" quotePrefix="0" xfId="22">
      <alignment vertical="center"/>
    </xf>
    <xf numFmtId="9" fontId="13" fillId="5" borderId="7" applyAlignment="1" pivotButton="0" quotePrefix="0" xfId="41">
      <alignment vertical="center"/>
    </xf>
    <xf numFmtId="0" fontId="73" fillId="0" borderId="0" pivotButton="0" quotePrefix="0" xfId="23"/>
    <xf numFmtId="165" fontId="13" fillId="5" borderId="7" applyAlignment="1" pivotButton="0" quotePrefix="0" xfId="22">
      <alignment vertical="center"/>
    </xf>
    <xf numFmtId="0" fontId="13" fillId="0" borderId="0" applyAlignment="1" pivotButton="0" quotePrefix="0" xfId="39">
      <alignment vertical="top"/>
    </xf>
    <xf numFmtId="0" fontId="13" fillId="0" borderId="0" applyAlignment="1" pivotButton="0" quotePrefix="0" xfId="39">
      <alignment vertical="top" wrapText="1"/>
    </xf>
    <xf numFmtId="10" fontId="20" fillId="0" borderId="0" pivotButton="0" quotePrefix="0" xfId="41"/>
    <xf numFmtId="10" fontId="13" fillId="0" borderId="0" pivotButton="0" quotePrefix="0" xfId="41"/>
    <xf numFmtId="0" fontId="20" fillId="4" borderId="49" applyAlignment="1" applyProtection="1" pivotButton="0" quotePrefix="0" xfId="28">
      <alignment vertical="center" wrapText="1"/>
      <protection locked="0" hidden="0"/>
    </xf>
    <xf numFmtId="168" fontId="20" fillId="7" borderId="51" applyAlignment="1" applyProtection="1" pivotButton="0" quotePrefix="0" xfId="40">
      <alignment vertical="center" wrapText="1"/>
      <protection locked="0" hidden="0"/>
    </xf>
    <xf numFmtId="10" fontId="20" fillId="5" borderId="53" applyAlignment="1" pivotButton="0" quotePrefix="0" xfId="41">
      <alignment horizontal="center" vertical="center"/>
    </xf>
    <xf numFmtId="168" fontId="20" fillId="5" borderId="49" applyAlignment="1" pivotButton="0" quotePrefix="0" xfId="40">
      <alignment vertical="center"/>
    </xf>
    <xf numFmtId="0" fontId="20" fillId="4" borderId="13" applyAlignment="1" applyProtection="1" pivotButton="0" quotePrefix="0" xfId="28">
      <alignment vertical="center" wrapText="1"/>
      <protection locked="0" hidden="0"/>
    </xf>
    <xf numFmtId="168" fontId="20" fillId="7" borderId="52" applyAlignment="1" applyProtection="1" pivotButton="0" quotePrefix="0" xfId="40">
      <alignment vertical="center" wrapText="1"/>
      <protection locked="0" hidden="0"/>
    </xf>
    <xf numFmtId="10" fontId="20" fillId="5" borderId="54" applyAlignment="1" pivotButton="0" quotePrefix="0" xfId="41">
      <alignment horizontal="center" vertical="center"/>
    </xf>
    <xf numFmtId="168" fontId="20" fillId="5" borderId="13" applyAlignment="1" pivotButton="0" quotePrefix="0" xfId="40">
      <alignment vertical="center"/>
    </xf>
    <xf numFmtId="10" fontId="20" fillId="5" borderId="13" applyAlignment="1" pivotButton="0" quotePrefix="0" xfId="41">
      <alignment horizontal="center" vertical="center"/>
    </xf>
    <xf numFmtId="0" fontId="13" fillId="4" borderId="13" applyAlignment="1" applyProtection="1" pivotButton="0" quotePrefix="0" xfId="28">
      <alignment vertical="center" wrapText="1"/>
      <protection locked="0" hidden="0"/>
    </xf>
    <xf numFmtId="168" fontId="13" fillId="7" borderId="52" applyAlignment="1" applyProtection="1" pivotButton="0" quotePrefix="0" xfId="40">
      <alignment vertical="center" wrapText="1"/>
      <protection locked="0" hidden="0"/>
    </xf>
    <xf numFmtId="10" fontId="20" fillId="5" borderId="11" applyAlignment="1" pivotButton="0" quotePrefix="0" xfId="41">
      <alignment horizontal="center" vertical="center"/>
    </xf>
    <xf numFmtId="0" fontId="20" fillId="4" borderId="11" applyAlignment="1" applyProtection="1" pivotButton="0" quotePrefix="0" xfId="28">
      <alignment vertical="center" wrapText="1"/>
      <protection locked="0" hidden="0"/>
    </xf>
    <xf numFmtId="10" fontId="20" fillId="5" borderId="12" applyAlignment="1" pivotButton="0" quotePrefix="0" xfId="41">
      <alignment horizontal="center" vertical="center"/>
    </xf>
    <xf numFmtId="168" fontId="20" fillId="5" borderId="11" applyAlignment="1" pivotButton="0" quotePrefix="0" xfId="40">
      <alignment vertical="center"/>
    </xf>
    <xf numFmtId="168" fontId="25" fillId="5" borderId="7" applyAlignment="1" pivotButton="0" quotePrefix="0" xfId="40">
      <alignment horizontal="center" vertical="center" wrapText="1"/>
    </xf>
    <xf numFmtId="10" fontId="20" fillId="5" borderId="7" applyAlignment="1" pivotButton="0" quotePrefix="0" xfId="41">
      <alignment horizontal="center" vertical="center"/>
    </xf>
    <xf numFmtId="168" fontId="20" fillId="5" borderId="7" applyAlignment="1" pivotButton="0" quotePrefix="0" xfId="40">
      <alignment vertical="center"/>
    </xf>
    <xf numFmtId="0" fontId="13" fillId="0" borderId="0" pivotButton="0" quotePrefix="0" xfId="28"/>
    <xf numFmtId="0" fontId="53" fillId="0" borderId="0" applyAlignment="1" pivotButton="0" quotePrefix="0" xfId="42">
      <alignment horizontal="right" vertical="center"/>
    </xf>
    <xf numFmtId="0" fontId="20" fillId="4" borderId="7" applyAlignment="1" applyProtection="1" pivotButton="0" quotePrefix="0" xfId="0">
      <alignment horizontal="center" vertical="top" wrapText="1"/>
      <protection locked="0" hidden="0"/>
    </xf>
    <xf numFmtId="165" fontId="20" fillId="7" borderId="13" applyAlignment="1" applyProtection="1" pivotButton="0" quotePrefix="0" xfId="28">
      <alignment vertical="center" wrapText="1"/>
      <protection locked="0" hidden="0"/>
    </xf>
    <xf numFmtId="165" fontId="20" fillId="5" borderId="49" applyAlignment="1" pivotButton="0" quotePrefix="0" xfId="40">
      <alignment vertical="center"/>
    </xf>
    <xf numFmtId="165" fontId="20" fillId="7" borderId="49" applyAlignment="1" applyProtection="1" pivotButton="0" quotePrefix="0" xfId="28">
      <alignment vertical="center" wrapText="1"/>
      <protection locked="0" hidden="0"/>
    </xf>
    <xf numFmtId="0" fontId="13" fillId="5" borderId="51" applyAlignment="1" pivotButton="0" quotePrefix="0" xfId="13">
      <alignment horizontal="center" vertical="center"/>
    </xf>
    <xf numFmtId="169" fontId="20" fillId="4" borderId="49" applyAlignment="1" applyProtection="1" pivotButton="0" quotePrefix="0" xfId="28">
      <alignment vertical="center" wrapText="1"/>
      <protection locked="0" hidden="0"/>
    </xf>
    <xf numFmtId="165" fontId="20" fillId="5" borderId="13" applyAlignment="1" pivotButton="0" quotePrefix="0" xfId="40">
      <alignment vertical="center"/>
    </xf>
    <xf numFmtId="0" fontId="13" fillId="5" borderId="52" applyAlignment="1" pivotButton="0" quotePrefix="0" xfId="13">
      <alignment horizontal="center" vertical="center"/>
    </xf>
    <xf numFmtId="169" fontId="20" fillId="4" borderId="13" applyAlignment="1" applyProtection="1" pivotButton="0" quotePrefix="0" xfId="28">
      <alignment vertical="center" wrapText="1"/>
      <protection locked="0" hidden="0"/>
    </xf>
    <xf numFmtId="165" fontId="20" fillId="7" borderId="11" applyAlignment="1" applyProtection="1" pivotButton="0" quotePrefix="0" xfId="28">
      <alignment vertical="center" wrapText="1"/>
      <protection locked="0" hidden="0"/>
    </xf>
    <xf numFmtId="165" fontId="20" fillId="5" borderId="11" applyAlignment="1" pivotButton="0" quotePrefix="0" xfId="40">
      <alignment vertical="center"/>
    </xf>
    <xf numFmtId="169" fontId="20" fillId="4" borderId="11" applyAlignment="1" applyProtection="1" pivotButton="0" quotePrefix="0" xfId="28">
      <alignment vertical="center" wrapText="1"/>
      <protection locked="0" hidden="0"/>
    </xf>
    <xf numFmtId="0" fontId="13" fillId="5" borderId="49" applyAlignment="1" pivotButton="0" quotePrefix="0" xfId="13">
      <alignment horizontal="center" vertical="center"/>
    </xf>
    <xf numFmtId="0" fontId="13" fillId="5" borderId="13" applyAlignment="1" pivotButton="0" quotePrefix="0" xfId="13">
      <alignment horizontal="center" vertical="center"/>
    </xf>
    <xf numFmtId="0" fontId="13" fillId="5" borderId="11" applyAlignment="1" pivotButton="0" quotePrefix="0" xfId="13">
      <alignment horizontal="center" vertical="center"/>
    </xf>
    <xf numFmtId="168" fontId="20" fillId="0" borderId="0" pivotButton="0" quotePrefix="0" xfId="40"/>
    <xf numFmtId="0" fontId="74" fillId="0" borderId="0" applyAlignment="1" pivotButton="0" quotePrefix="0" xfId="42">
      <alignment horizontal="left"/>
    </xf>
    <xf numFmtId="0" fontId="75" fillId="0" borderId="0" pivotButton="0" quotePrefix="0" xfId="28"/>
    <xf numFmtId="0" fontId="75" fillId="0" borderId="0" applyAlignment="1" pivotButton="0" quotePrefix="0" xfId="28">
      <alignment horizontal="left"/>
    </xf>
    <xf numFmtId="0" fontId="31" fillId="0" borderId="0" applyAlignment="1" pivotButton="0" quotePrefix="0" xfId="43">
      <alignment horizontal="center" vertical="center"/>
    </xf>
    <xf numFmtId="0" fontId="13" fillId="0" borderId="0" applyAlignment="1" pivotButton="0" quotePrefix="0" xfId="28">
      <alignment horizontal="right"/>
    </xf>
    <xf numFmtId="0" fontId="20" fillId="0" borderId="0" applyAlignment="1" pivotButton="0" quotePrefix="0" xfId="28">
      <alignment vertical="center"/>
    </xf>
    <xf numFmtId="168" fontId="20" fillId="5" borderId="7" applyAlignment="1" pivotButton="0" quotePrefix="0" xfId="18">
      <alignment vertical="center"/>
    </xf>
    <xf numFmtId="168" fontId="20" fillId="5" borderId="7" applyAlignment="1" pivotButton="0" quotePrefix="0" xfId="18">
      <alignment horizontal="right" vertical="center"/>
    </xf>
    <xf numFmtId="3" fontId="13" fillId="5" borderId="49" applyAlignment="1" pivotButton="0" quotePrefix="0" xfId="22">
      <alignment horizontal="left" vertical="center"/>
    </xf>
    <xf numFmtId="0" fontId="16" fillId="5" borderId="49" applyAlignment="1" pivotButton="0" quotePrefix="0" xfId="6">
      <alignment vertical="center"/>
    </xf>
    <xf numFmtId="10" fontId="20" fillId="5" borderId="49" applyAlignment="1" pivotButton="0" quotePrefix="0" xfId="44">
      <alignment horizontal="center" vertical="center"/>
    </xf>
    <xf numFmtId="9" fontId="13" fillId="5" borderId="49" applyAlignment="1" pivotButton="0" quotePrefix="0" xfId="44">
      <alignment horizontal="center" vertical="center"/>
    </xf>
    <xf numFmtId="3" fontId="13" fillId="5" borderId="13" applyAlignment="1" pivotButton="0" quotePrefix="0" xfId="22">
      <alignment horizontal="left" vertical="center"/>
    </xf>
    <xf numFmtId="0" fontId="16" fillId="5" borderId="13" applyAlignment="1" pivotButton="0" quotePrefix="0" xfId="6">
      <alignment vertical="center"/>
    </xf>
    <xf numFmtId="10" fontId="13" fillId="5" borderId="13" applyAlignment="1" pivotButton="0" quotePrefix="0" xfId="44">
      <alignment horizontal="center" vertical="center"/>
    </xf>
    <xf numFmtId="9" fontId="13" fillId="5" borderId="13" applyAlignment="1" pivotButton="0" quotePrefix="0" xfId="44">
      <alignment horizontal="center" vertical="center"/>
    </xf>
    <xf numFmtId="3" fontId="13" fillId="5" borderId="11" applyAlignment="1" pivotButton="0" quotePrefix="0" xfId="22">
      <alignment horizontal="left" vertical="center"/>
    </xf>
    <xf numFmtId="0" fontId="16" fillId="5" borderId="11" applyAlignment="1" pivotButton="0" quotePrefix="0" xfId="6">
      <alignment vertical="center"/>
    </xf>
    <xf numFmtId="10" fontId="13" fillId="5" borderId="11" applyAlignment="1" pivotButton="0" quotePrefix="0" xfId="44">
      <alignment horizontal="center" vertical="center"/>
    </xf>
    <xf numFmtId="9" fontId="13" fillId="5" borderId="11" applyAlignment="1" pivotButton="0" quotePrefix="0" xfId="44">
      <alignment horizontal="center" vertical="center"/>
    </xf>
    <xf numFmtId="165" fontId="20" fillId="5" borderId="49" applyAlignment="1" pivotButton="0" quotePrefix="0" xfId="18">
      <alignment vertical="center"/>
    </xf>
    <xf numFmtId="165" fontId="75" fillId="3" borderId="49" applyAlignment="1" pivotButton="0" quotePrefix="0" xfId="18">
      <alignment vertical="center"/>
    </xf>
    <xf numFmtId="165" fontId="20" fillId="3" borderId="10" applyAlignment="1" pivotButton="0" quotePrefix="0" xfId="18">
      <alignment vertical="center"/>
    </xf>
    <xf numFmtId="165" fontId="20" fillId="3" borderId="53" applyAlignment="1" pivotButton="0" quotePrefix="0" xfId="18">
      <alignment vertical="center"/>
    </xf>
    <xf numFmtId="165" fontId="20" fillId="5" borderId="13" applyAlignment="1" pivotButton="0" quotePrefix="0" xfId="18">
      <alignment vertical="center"/>
    </xf>
    <xf numFmtId="165" fontId="75" fillId="3" borderId="13" applyAlignment="1" pivotButton="0" quotePrefix="0" xfId="18">
      <alignment vertical="center"/>
    </xf>
    <xf numFmtId="165" fontId="20" fillId="3" borderId="0" applyAlignment="1" pivotButton="0" quotePrefix="0" xfId="18">
      <alignment vertical="center"/>
    </xf>
    <xf numFmtId="165" fontId="20" fillId="3" borderId="54" applyAlignment="1" pivotButton="0" quotePrefix="0" xfId="18">
      <alignment vertical="center"/>
    </xf>
    <xf numFmtId="165" fontId="75" fillId="3" borderId="11" applyAlignment="1" pivotButton="0" quotePrefix="0" xfId="18">
      <alignment vertical="center"/>
    </xf>
    <xf numFmtId="165" fontId="20" fillId="5" borderId="11" applyAlignment="1" pivotButton="0" quotePrefix="0" xfId="18">
      <alignment vertical="center"/>
    </xf>
    <xf numFmtId="165" fontId="20" fillId="3" borderId="6" applyAlignment="1" pivotButton="0" quotePrefix="0" xfId="18">
      <alignment vertical="center"/>
    </xf>
    <xf numFmtId="165" fontId="20" fillId="3" borderId="12" applyAlignment="1" pivotButton="0" quotePrefix="0" xfId="18">
      <alignment vertical="center"/>
    </xf>
    <xf numFmtId="165" fontId="24" fillId="5" borderId="7" applyAlignment="1" pivotButton="0" quotePrefix="0" xfId="18">
      <alignment vertical="center"/>
    </xf>
    <xf numFmtId="165" fontId="20" fillId="3" borderId="52" applyAlignment="1" pivotButton="0" quotePrefix="0" xfId="18">
      <alignment vertical="center"/>
    </xf>
    <xf numFmtId="165" fontId="24" fillId="5" borderId="12" applyAlignment="1" pivotButton="0" quotePrefix="0" xfId="18">
      <alignment vertical="center"/>
    </xf>
    <xf numFmtId="165" fontId="24" fillId="5" borderId="11" applyAlignment="1" pivotButton="0" quotePrefix="0" xfId="18">
      <alignment vertical="center"/>
    </xf>
    <xf numFmtId="165" fontId="20" fillId="3" borderId="9" applyAlignment="1" pivotButton="0" quotePrefix="0" xfId="18">
      <alignment vertical="center"/>
    </xf>
    <xf numFmtId="168" fontId="20" fillId="3" borderId="52" applyAlignment="1" pivotButton="0" quotePrefix="0" xfId="18">
      <alignment vertical="center"/>
    </xf>
    <xf numFmtId="168" fontId="20" fillId="3" borderId="0" applyAlignment="1" pivotButton="0" quotePrefix="0" xfId="18">
      <alignment vertical="center"/>
    </xf>
    <xf numFmtId="168" fontId="20" fillId="3" borderId="54" applyAlignment="1" pivotButton="0" quotePrefix="0" xfId="18">
      <alignment vertical="center"/>
    </xf>
    <xf numFmtId="9" fontId="24" fillId="5" borderId="9" applyAlignment="1" pivotButton="0" quotePrefix="0" xfId="44">
      <alignment vertical="center"/>
    </xf>
    <xf numFmtId="9" fontId="24" fillId="5" borderId="7" applyAlignment="1" pivotButton="0" quotePrefix="0" xfId="44">
      <alignment vertical="center"/>
    </xf>
    <xf numFmtId="168" fontId="20" fillId="3" borderId="50" applyAlignment="1" pivotButton="0" quotePrefix="0" xfId="18">
      <alignment vertical="center"/>
    </xf>
    <xf numFmtId="168" fontId="20" fillId="3" borderId="6" applyAlignment="1" pivotButton="0" quotePrefix="0" xfId="18">
      <alignment vertical="center"/>
    </xf>
    <xf numFmtId="168" fontId="20" fillId="3" borderId="12" applyAlignment="1" pivotButton="0" quotePrefix="0" xfId="18">
      <alignment vertical="center"/>
    </xf>
    <xf numFmtId="165" fontId="13" fillId="5" borderId="9" applyAlignment="1" pivotButton="0" quotePrefix="0" xfId="22">
      <alignment horizontal="right" vertical="center"/>
    </xf>
    <xf numFmtId="165" fontId="13" fillId="5" borderId="7" applyAlignment="1" pivotButton="0" quotePrefix="0" xfId="22">
      <alignment horizontal="right" vertical="center"/>
    </xf>
    <xf numFmtId="9" fontId="13" fillId="5" borderId="9" applyAlignment="1" pivotButton="0" quotePrefix="0" xfId="44">
      <alignment horizontal="right" vertical="center"/>
    </xf>
    <xf numFmtId="9" fontId="13" fillId="5" borderId="7" applyAlignment="1" pivotButton="0" quotePrefix="0" xfId="44">
      <alignment horizontal="right" vertical="center"/>
    </xf>
    <xf numFmtId="0" fontId="13" fillId="0" borderId="0" applyAlignment="1" pivotButton="0" quotePrefix="0" xfId="13">
      <alignment horizontal="center"/>
    </xf>
    <xf numFmtId="0" fontId="31" fillId="0" borderId="0" applyAlignment="1" pivotButton="0" quotePrefix="0" xfId="43">
      <alignment horizontal="centerContinuous" vertical="center"/>
    </xf>
    <xf numFmtId="0" fontId="53" fillId="0" borderId="0" pivotButton="0" quotePrefix="0" xfId="30"/>
    <xf numFmtId="165" fontId="20" fillId="5" borderId="49" applyAlignment="1" pivotButton="0" quotePrefix="0" xfId="21">
      <alignment vertical="center"/>
    </xf>
    <xf numFmtId="165" fontId="20" fillId="3" borderId="49" applyAlignment="1" pivotButton="0" quotePrefix="0" xfId="21">
      <alignment vertical="center"/>
    </xf>
    <xf numFmtId="165" fontId="20" fillId="3" borderId="51" applyAlignment="1" pivotButton="0" quotePrefix="0" xfId="21">
      <alignment vertical="center"/>
    </xf>
    <xf numFmtId="10" fontId="20" fillId="5" borderId="49" applyAlignment="1" pivotButton="0" quotePrefix="0" xfId="44">
      <alignment vertical="center"/>
    </xf>
    <xf numFmtId="165" fontId="20" fillId="5" borderId="0" applyAlignment="1" pivotButton="0" quotePrefix="0" xfId="18">
      <alignment horizontal="right" vertical="center"/>
    </xf>
    <xf numFmtId="165" fontId="20" fillId="18" borderId="13" applyAlignment="1" pivotButton="0" quotePrefix="0" xfId="18">
      <alignment vertical="center"/>
    </xf>
    <xf numFmtId="165" fontId="20" fillId="18" borderId="0" applyAlignment="1" pivotButton="0" quotePrefix="0" xfId="18">
      <alignment horizontal="right" vertical="center"/>
    </xf>
    <xf numFmtId="165" fontId="20" fillId="5" borderId="6" applyAlignment="1" pivotButton="0" quotePrefix="0" xfId="18">
      <alignment horizontal="right" vertical="center"/>
    </xf>
    <xf numFmtId="0" fontId="20" fillId="0" borderId="0" applyAlignment="1" pivotButton="0" quotePrefix="0" xfId="28">
      <alignment horizontal="right"/>
    </xf>
    <xf numFmtId="0" fontId="53" fillId="0" borderId="0" applyAlignment="1" pivotButton="0" quotePrefix="0" xfId="30">
      <alignment vertical="center"/>
    </xf>
    <xf numFmtId="168" fontId="20" fillId="3" borderId="49" applyAlignment="1" pivotButton="0" quotePrefix="0" xfId="21">
      <alignment vertical="center"/>
    </xf>
    <xf numFmtId="168" fontId="20" fillId="3" borderId="51" applyAlignment="1" pivotButton="0" quotePrefix="0" xfId="21">
      <alignment vertical="center"/>
    </xf>
    <xf numFmtId="168" fontId="20" fillId="5" borderId="49" applyAlignment="1" pivotButton="0" quotePrefix="0" xfId="18">
      <alignment vertical="center"/>
    </xf>
    <xf numFmtId="168" fontId="20" fillId="3" borderId="11" applyAlignment="1" pivotButton="0" quotePrefix="0" xfId="21">
      <alignment vertical="center"/>
    </xf>
    <xf numFmtId="168" fontId="20" fillId="5" borderId="11" applyAlignment="1" pivotButton="0" quotePrefix="0" xfId="18">
      <alignment vertical="center"/>
    </xf>
    <xf numFmtId="168" fontId="20" fillId="5" borderId="0" applyAlignment="1" pivotButton="0" quotePrefix="0" xfId="18">
      <alignment horizontal="right" vertical="center"/>
    </xf>
    <xf numFmtId="168" fontId="20" fillId="5" borderId="13" applyAlignment="1" pivotButton="0" quotePrefix="0" xfId="18">
      <alignment vertical="center"/>
    </xf>
    <xf numFmtId="169" fontId="20" fillId="7" borderId="13" applyAlignment="1" applyProtection="1" pivotButton="0" quotePrefix="0" xfId="28">
      <alignment vertical="center" wrapText="1"/>
      <protection locked="0" hidden="0"/>
    </xf>
    <xf numFmtId="168" fontId="20" fillId="5" borderId="6" applyAlignment="1" pivotButton="0" quotePrefix="0" xfId="18">
      <alignment horizontal="right" vertical="center"/>
    </xf>
    <xf numFmtId="169" fontId="20" fillId="7" borderId="11" applyAlignment="1" applyProtection="1" pivotButton="0" quotePrefix="0" xfId="28">
      <alignment vertical="center" wrapText="1"/>
      <protection locked="0" hidden="0"/>
    </xf>
    <xf numFmtId="0" fontId="78" fillId="0" borderId="0" pivotButton="0" quotePrefix="0" xfId="30"/>
    <xf numFmtId="167" fontId="20" fillId="0" borderId="0" applyAlignment="1" pivotButton="0" quotePrefix="0" xfId="18">
      <alignment horizontal="right"/>
    </xf>
    <xf numFmtId="165" fontId="20" fillId="5" borderId="7" applyAlignment="1" pivotButton="0" quotePrefix="0" xfId="18">
      <alignment horizontal="right" vertical="center"/>
    </xf>
    <xf numFmtId="165" fontId="20" fillId="7" borderId="7" applyAlignment="1" applyProtection="1" pivotButton="0" quotePrefix="0" xfId="18">
      <alignment vertical="center" wrapText="1"/>
      <protection locked="0" hidden="0"/>
    </xf>
    <xf numFmtId="165" fontId="20" fillId="5" borderId="7" applyAlignment="1" pivotButton="0" quotePrefix="0" xfId="18">
      <alignment vertical="center"/>
    </xf>
    <xf numFmtId="168" fontId="20" fillId="0" borderId="0" applyAlignment="1" pivotButton="0" quotePrefix="0" xfId="18">
      <alignment horizontal="right"/>
    </xf>
    <xf numFmtId="0" fontId="53" fillId="0" borderId="0" pivotButton="0" quotePrefix="0" xfId="30"/>
    <xf numFmtId="0" fontId="78" fillId="0" borderId="0" pivotButton="0" quotePrefix="0" xfId="30"/>
    <xf numFmtId="165" fontId="24" fillId="5" borderId="51" applyAlignment="1" pivotButton="0" quotePrefix="0" xfId="18">
      <alignment vertical="center"/>
    </xf>
    <xf numFmtId="165" fontId="24" fillId="5" borderId="10" applyAlignment="1" pivotButton="0" quotePrefix="0" xfId="18">
      <alignment vertical="center"/>
    </xf>
    <xf numFmtId="165" fontId="24" fillId="5" borderId="53" applyAlignment="1" pivotButton="0" quotePrefix="0" xfId="18">
      <alignment vertical="center"/>
    </xf>
    <xf numFmtId="165" fontId="20" fillId="5" borderId="52" applyAlignment="1" pivotButton="0" quotePrefix="0" xfId="18">
      <alignment vertical="center"/>
    </xf>
    <xf numFmtId="165" fontId="20" fillId="5" borderId="0" applyAlignment="1" pivotButton="0" quotePrefix="0" xfId="18">
      <alignment vertical="center"/>
    </xf>
    <xf numFmtId="165" fontId="20" fillId="5" borderId="54" applyAlignment="1" pivotButton="0" quotePrefix="0" xfId="18">
      <alignment vertical="center"/>
    </xf>
    <xf numFmtId="165" fontId="20" fillId="7" borderId="52" applyAlignment="1" applyProtection="1" pivotButton="0" quotePrefix="0" xfId="28">
      <alignment vertical="center" wrapText="1"/>
      <protection locked="0" hidden="0"/>
    </xf>
    <xf numFmtId="165" fontId="20" fillId="7" borderId="0" applyAlignment="1" applyProtection="1" pivotButton="0" quotePrefix="0" xfId="28">
      <alignment vertical="center" wrapText="1"/>
      <protection locked="0" hidden="0"/>
    </xf>
    <xf numFmtId="165" fontId="20" fillId="7" borderId="54" applyAlignment="1" applyProtection="1" pivotButton="0" quotePrefix="0" xfId="28">
      <alignment vertical="center" wrapText="1"/>
      <protection locked="0" hidden="0"/>
    </xf>
    <xf numFmtId="165" fontId="20" fillId="7" borderId="50" applyAlignment="1" applyProtection="1" pivotButton="0" quotePrefix="0" xfId="28">
      <alignment vertical="center" wrapText="1"/>
      <protection locked="0" hidden="0"/>
    </xf>
    <xf numFmtId="165" fontId="20" fillId="7" borderId="6" applyAlignment="1" applyProtection="1" pivotButton="0" quotePrefix="0" xfId="28">
      <alignment vertical="center" wrapText="1"/>
      <protection locked="0" hidden="0"/>
    </xf>
    <xf numFmtId="165" fontId="20" fillId="7" borderId="12" applyAlignment="1" applyProtection="1" pivotButton="0" quotePrefix="0" xfId="28">
      <alignment vertical="center" wrapText="1"/>
      <protection locked="0" hidden="0"/>
    </xf>
    <xf numFmtId="0" fontId="20" fillId="4" borderId="7" applyAlignment="1" applyProtection="1" pivotButton="0" quotePrefix="0" xfId="28">
      <alignment vertical="center" wrapText="1"/>
      <protection locked="0" hidden="0"/>
    </xf>
    <xf numFmtId="165" fontId="20" fillId="7" borderId="7" applyAlignment="1" applyProtection="1" pivotButton="0" quotePrefix="0" xfId="28">
      <alignment vertical="center" wrapText="1"/>
      <protection locked="0" hidden="0"/>
    </xf>
    <xf numFmtId="0" fontId="13" fillId="5" borderId="9" applyAlignment="1" pivotButton="0" quotePrefix="0" xfId="13">
      <alignment horizontal="center" vertical="center"/>
    </xf>
    <xf numFmtId="0" fontId="38" fillId="0" borderId="0" pivotButton="0" quotePrefix="0" xfId="28"/>
    <xf numFmtId="0" fontId="38" fillId="0" borderId="0" applyAlignment="1" pivotButton="0" quotePrefix="0" xfId="28">
      <alignment horizontal="left"/>
    </xf>
    <xf numFmtId="0" fontId="74" fillId="0" borderId="0" applyAlignment="1" pivotButton="0" quotePrefix="0" xfId="30">
      <alignment horizontal="left"/>
    </xf>
    <xf numFmtId="165" fontId="20" fillId="5" borderId="14" applyAlignment="1" pivotButton="0" quotePrefix="0" xfId="18">
      <alignment horizontal="right" vertical="center"/>
    </xf>
    <xf numFmtId="168" fontId="20" fillId="0" borderId="0" pivotButton="0" quotePrefix="0" xfId="18"/>
    <xf numFmtId="167" fontId="20" fillId="0" borderId="0" pivotButton="0" quotePrefix="0" xfId="18"/>
    <xf numFmtId="0" fontId="25" fillId="0" borderId="0" pivotButton="0" quotePrefix="0" xfId="28"/>
    <xf numFmtId="165" fontId="20" fillId="5" borderId="53" applyAlignment="1" pivotButton="0" quotePrefix="0" xfId="18">
      <alignment vertical="center"/>
    </xf>
    <xf numFmtId="165" fontId="38" fillId="3" borderId="49" applyAlignment="1" pivotButton="0" quotePrefix="0" xfId="18">
      <alignment vertical="center"/>
    </xf>
    <xf numFmtId="165" fontId="38" fillId="3" borderId="51" applyAlignment="1" pivotButton="0" quotePrefix="0" xfId="18">
      <alignment vertical="center"/>
    </xf>
    <xf numFmtId="168" fontId="20" fillId="3" borderId="10" applyAlignment="1" pivotButton="0" quotePrefix="0" xfId="18">
      <alignment vertical="center"/>
    </xf>
    <xf numFmtId="168" fontId="20" fillId="3" borderId="53" applyAlignment="1" pivotButton="0" quotePrefix="0" xfId="18">
      <alignment vertical="center"/>
    </xf>
    <xf numFmtId="165" fontId="38" fillId="3" borderId="13" applyAlignment="1" pivotButton="0" quotePrefix="0" xfId="18">
      <alignment vertical="center"/>
    </xf>
    <xf numFmtId="165" fontId="38" fillId="3" borderId="52" applyAlignment="1" pivotButton="0" quotePrefix="0" xfId="18">
      <alignment vertical="center"/>
    </xf>
    <xf numFmtId="165" fontId="38" fillId="3" borderId="12" applyAlignment="1" pivotButton="0" quotePrefix="0" xfId="18">
      <alignment vertical="center"/>
    </xf>
    <xf numFmtId="165" fontId="38" fillId="3" borderId="11" applyAlignment="1" pivotButton="0" quotePrefix="0" xfId="18">
      <alignment vertical="center"/>
    </xf>
    <xf numFmtId="165" fontId="20" fillId="5" borderId="50" applyAlignment="1" pivotButton="0" quotePrefix="0" xfId="18">
      <alignment vertical="center"/>
    </xf>
    <xf numFmtId="165" fontId="20" fillId="5" borderId="12" applyAlignment="1" pivotButton="0" quotePrefix="0" xfId="18">
      <alignment vertical="center"/>
    </xf>
    <xf numFmtId="165" fontId="20" fillId="5" borderId="9" applyAlignment="1" pivotButton="0" quotePrefix="0" xfId="18">
      <alignment vertical="center"/>
    </xf>
    <xf numFmtId="9" fontId="20" fillId="3" borderId="12" applyAlignment="1" pivotButton="0" quotePrefix="0" xfId="44">
      <alignment vertical="center"/>
    </xf>
    <xf numFmtId="9" fontId="20" fillId="5" borderId="9" applyAlignment="1" pivotButton="0" quotePrefix="0" xfId="44">
      <alignment vertical="center"/>
    </xf>
    <xf numFmtId="0" fontId="24" fillId="4" borderId="7" applyAlignment="1" applyProtection="1" pivotButton="0" quotePrefix="0" xfId="28">
      <alignment horizontal="center" vertical="center" wrapText="1"/>
      <protection locked="0" hidden="0"/>
    </xf>
    <xf numFmtId="165" fontId="20" fillId="7" borderId="51" applyAlignment="1" applyProtection="1" pivotButton="0" quotePrefix="0" xfId="28">
      <alignment vertical="center" wrapText="1"/>
      <protection locked="0" hidden="0"/>
    </xf>
    <xf numFmtId="0" fontId="24" fillId="4" borderId="49" applyAlignment="1" applyProtection="1" pivotButton="0" quotePrefix="0" xfId="28">
      <alignment horizontal="center" vertical="center" wrapText="1"/>
      <protection locked="0" hidden="0"/>
    </xf>
    <xf numFmtId="0" fontId="24" fillId="4" borderId="13" applyAlignment="1" applyProtection="1" pivotButton="0" quotePrefix="0" xfId="28">
      <alignment horizontal="center" vertical="center" wrapText="1"/>
      <protection locked="0" hidden="0"/>
    </xf>
    <xf numFmtId="0" fontId="24" fillId="4" borderId="11" applyAlignment="1" applyProtection="1" pivotButton="0" quotePrefix="0" xfId="28">
      <alignment horizontal="center" vertical="center" wrapText="1"/>
      <protection locked="0" hidden="0"/>
    </xf>
    <xf numFmtId="165" fontId="20" fillId="7" borderId="11" applyAlignment="1" applyProtection="1" pivotButton="0" quotePrefix="0" xfId="18">
      <alignment vertical="center" wrapText="1"/>
      <protection locked="0" hidden="0"/>
    </xf>
    <xf numFmtId="169" fontId="20" fillId="4" borderId="7" applyAlignment="1" applyProtection="1" pivotButton="0" quotePrefix="0" xfId="28">
      <alignment vertical="center" wrapText="1"/>
      <protection locked="0" hidden="0"/>
    </xf>
    <xf numFmtId="0" fontId="20" fillId="0" borderId="0" applyAlignment="1" pivotButton="0" quotePrefix="0" xfId="45">
      <alignment vertical="center"/>
    </xf>
    <xf numFmtId="0" fontId="25" fillId="0" borderId="0" applyAlignment="1" pivotButton="0" quotePrefix="0" xfId="5">
      <alignment horizontal="left" vertical="top"/>
    </xf>
    <xf numFmtId="0" fontId="20" fillId="0" borderId="0" pivotButton="0" quotePrefix="0" xfId="45"/>
    <xf numFmtId="0" fontId="13" fillId="0" borderId="0" pivotButton="0" quotePrefix="0" xfId="45"/>
    <xf numFmtId="0" fontId="38" fillId="0" borderId="0" pivotButton="0" quotePrefix="0" xfId="45"/>
    <xf numFmtId="0" fontId="13" fillId="0" borderId="0" applyAlignment="1" pivotButton="0" quotePrefix="0" xfId="45">
      <alignment horizontal="right"/>
    </xf>
    <xf numFmtId="0" fontId="13" fillId="0" borderId="0" applyAlignment="1" pivotButton="0" quotePrefix="0" xfId="45">
      <alignment wrapText="1"/>
    </xf>
    <xf numFmtId="0" fontId="54" fillId="21" borderId="0" pivotButton="0" quotePrefix="0" xfId="45"/>
    <xf numFmtId="0" fontId="54" fillId="0" borderId="0" pivotButton="0" quotePrefix="0" xfId="45"/>
    <xf numFmtId="0" fontId="13" fillId="0" borderId="0" applyAlignment="1" pivotButton="0" quotePrefix="0" xfId="45">
      <alignment vertical="center"/>
    </xf>
    <xf numFmtId="0" fontId="47" fillId="0" borderId="0" applyAlignment="1" pivotButton="0" quotePrefix="0" xfId="30">
      <alignment horizontal="left"/>
    </xf>
    <xf numFmtId="169" fontId="20" fillId="4" borderId="7" applyAlignment="1" applyProtection="1" pivotButton="0" quotePrefix="0" xfId="28">
      <alignment wrapText="1"/>
      <protection locked="0" hidden="0"/>
    </xf>
    <xf numFmtId="0" fontId="13" fillId="0" borderId="0" applyAlignment="1" pivotButton="0" quotePrefix="0" xfId="45">
      <alignment vertical="center" wrapText="1"/>
    </xf>
    <xf numFmtId="0" fontId="13" fillId="4" borderId="7" applyAlignment="1" applyProtection="1" pivotButton="0" quotePrefix="0" xfId="5">
      <alignment horizontal="center" vertical="center" wrapText="1"/>
      <protection locked="0" hidden="0"/>
    </xf>
    <xf numFmtId="0" fontId="13" fillId="0" borderId="0" applyAlignment="1" pivotButton="0" quotePrefix="0" xfId="46">
      <alignment vertical="center"/>
    </xf>
    <xf numFmtId="0" fontId="13" fillId="0" borderId="0" pivotButton="0" quotePrefix="0" xfId="46"/>
    <xf numFmtId="0" fontId="54" fillId="21" borderId="0" applyAlignment="1" pivotButton="0" quotePrefix="0" xfId="45">
      <alignment vertical="center"/>
    </xf>
    <xf numFmtId="172" fontId="13" fillId="7" borderId="7" applyAlignment="1" applyProtection="1" pivotButton="0" quotePrefix="0" xfId="1">
      <alignment horizontal="center" vertical="center" wrapText="1"/>
      <protection locked="0" hidden="0"/>
    </xf>
    <xf numFmtId="9" fontId="13" fillId="4" borderId="7" applyAlignment="1" applyProtection="1" pivotButton="0" quotePrefix="0" xfId="1">
      <alignment horizontal="center" vertical="center" wrapText="1"/>
      <protection locked="0" hidden="0"/>
    </xf>
    <xf numFmtId="0" fontId="31" fillId="0" borderId="0" applyAlignment="1" pivotButton="0" quotePrefix="0" xfId="17">
      <alignment horizontal="center" vertical="center"/>
    </xf>
    <xf numFmtId="165" fontId="20" fillId="7" borderId="8" applyAlignment="1" applyProtection="1" pivotButton="0" quotePrefix="0" xfId="28">
      <alignment vertical="center" wrapText="1"/>
      <protection locked="0" hidden="0"/>
    </xf>
    <xf numFmtId="165" fontId="20" fillId="7" borderId="9" applyAlignment="1" applyProtection="1" pivotButton="0" quotePrefix="0" xfId="28">
      <alignment vertical="center" wrapText="1"/>
      <protection locked="0" hidden="0"/>
    </xf>
    <xf numFmtId="173" fontId="20" fillId="0" borderId="0" applyAlignment="1" pivotButton="0" quotePrefix="0" xfId="18">
      <alignment vertical="center"/>
    </xf>
    <xf numFmtId="165" fontId="20" fillId="7" borderId="14" applyAlignment="1" applyProtection="1" pivotButton="0" quotePrefix="0" xfId="28">
      <alignment vertical="center" wrapText="1"/>
      <protection locked="0" hidden="0"/>
    </xf>
    <xf numFmtId="165" fontId="20" fillId="5" borderId="14" applyAlignment="1" pivotButton="0" quotePrefix="0" xfId="18">
      <alignment vertical="center"/>
    </xf>
    <xf numFmtId="173" fontId="20" fillId="4" borderId="13" applyAlignment="1" applyProtection="1" pivotButton="0" quotePrefix="0" xfId="28">
      <alignment vertical="center" wrapText="1"/>
      <protection locked="0" hidden="0"/>
    </xf>
    <xf numFmtId="173" fontId="20" fillId="4" borderId="54" applyAlignment="1" applyProtection="1" pivotButton="0" quotePrefix="0" xfId="28">
      <alignment vertical="center" wrapText="1"/>
      <protection locked="0" hidden="0"/>
    </xf>
    <xf numFmtId="0" fontId="70" fillId="0" borderId="0" pivotButton="0" quotePrefix="0" xfId="23"/>
    <xf numFmtId="172" fontId="20" fillId="5" borderId="7" applyAlignment="1" pivotButton="0" quotePrefix="0" xfId="41">
      <alignment horizontal="right" vertical="center"/>
    </xf>
    <xf numFmtId="168" fontId="20" fillId="7" borderId="7" applyAlignment="1" applyProtection="1" pivotButton="0" quotePrefix="0" xfId="40">
      <alignment vertical="center" wrapText="1"/>
      <protection locked="0" hidden="0"/>
    </xf>
    <xf numFmtId="3" fontId="20" fillId="4" borderId="7" applyAlignment="1" applyProtection="1" pivotButton="0" quotePrefix="0" xfId="28">
      <alignment horizontal="center" vertical="center" wrapText="1"/>
      <protection locked="0" hidden="0"/>
    </xf>
    <xf numFmtId="168" fontId="20" fillId="5" borderId="7" applyAlignment="1" pivotButton="0" quotePrefix="0" xfId="21">
      <alignment vertical="center"/>
    </xf>
    <xf numFmtId="168" fontId="20" fillId="5" borderId="14" applyAlignment="1" pivotButton="0" quotePrefix="0" xfId="40">
      <alignment vertical="center"/>
    </xf>
    <xf numFmtId="172" fontId="20" fillId="5" borderId="49" applyAlignment="1" pivotButton="0" quotePrefix="0" xfId="41">
      <alignment horizontal="center" vertical="center"/>
    </xf>
    <xf numFmtId="10" fontId="20" fillId="0" borderId="0" applyAlignment="1" pivotButton="0" quotePrefix="0" xfId="41">
      <alignment vertical="center"/>
    </xf>
    <xf numFmtId="172" fontId="20" fillId="5" borderId="13" applyAlignment="1" pivotButton="0" quotePrefix="0" xfId="41">
      <alignment horizontal="center" vertical="center"/>
    </xf>
    <xf numFmtId="172" fontId="20" fillId="5" borderId="11" applyAlignment="1" pivotButton="0" quotePrefix="0" xfId="41">
      <alignment horizontal="center" vertical="center"/>
    </xf>
    <xf numFmtId="168" fontId="13" fillId="7" borderId="52" applyAlignment="1" applyProtection="1" pivotButton="0" quotePrefix="0" xfId="40">
      <alignment horizontal="right" vertical="center" wrapText="1"/>
      <protection locked="0" hidden="0"/>
    </xf>
    <xf numFmtId="168" fontId="13" fillId="7" borderId="50" applyAlignment="1" applyProtection="1" pivotButton="0" quotePrefix="0" xfId="40">
      <alignment horizontal="right" vertical="center" wrapText="1"/>
      <protection locked="0" hidden="0"/>
    </xf>
    <xf numFmtId="3" fontId="20" fillId="7" borderId="7" applyAlignment="1" applyProtection="1" pivotButton="0" quotePrefix="0" xfId="28">
      <alignment vertical="center" wrapText="1"/>
      <protection locked="0" hidden="0"/>
    </xf>
    <xf numFmtId="3" fontId="20" fillId="7" borderId="14" applyAlignment="1" applyProtection="1" pivotButton="0" quotePrefix="0" xfId="28">
      <alignment vertical="center" wrapText="1"/>
      <protection locked="0" hidden="0"/>
    </xf>
    <xf numFmtId="168" fontId="20" fillId="7" borderId="8" applyAlignment="1" applyProtection="1" pivotButton="0" quotePrefix="0" xfId="40">
      <alignment vertical="center" wrapText="1"/>
      <protection locked="0" hidden="0"/>
    </xf>
    <xf numFmtId="0" fontId="13" fillId="4" borderId="7" applyAlignment="1" applyProtection="1" pivotButton="0" quotePrefix="0" xfId="28">
      <alignment vertical="center" wrapText="1"/>
      <protection locked="0" hidden="0"/>
    </xf>
    <xf numFmtId="9" fontId="20" fillId="0" borderId="0" applyAlignment="1" pivotButton="0" quotePrefix="0" xfId="41">
      <alignment horizontal="center" vertical="center"/>
    </xf>
    <xf numFmtId="0" fontId="13" fillId="4" borderId="49" applyAlignment="1" applyProtection="1" pivotButton="0" quotePrefix="0" xfId="28">
      <alignment vertical="center" wrapText="1"/>
      <protection locked="0" hidden="0"/>
    </xf>
    <xf numFmtId="3" fontId="20" fillId="4" borderId="49" applyAlignment="1" applyProtection="1" pivotButton="0" quotePrefix="0" xfId="28">
      <alignment horizontal="center" vertical="center" wrapText="1"/>
      <protection locked="0" hidden="0"/>
    </xf>
    <xf numFmtId="168" fontId="20" fillId="5" borderId="51" applyAlignment="1" pivotButton="0" quotePrefix="0" xfId="40">
      <alignment vertical="center"/>
    </xf>
    <xf numFmtId="168" fontId="20" fillId="3" borderId="49" applyAlignment="1" pivotButton="0" quotePrefix="0" xfId="40">
      <alignment vertical="center"/>
    </xf>
    <xf numFmtId="168" fontId="20" fillId="3" borderId="53" applyAlignment="1" pivotButton="0" quotePrefix="0" xfId="40">
      <alignment vertical="center"/>
    </xf>
    <xf numFmtId="3" fontId="20" fillId="4" borderId="13" applyAlignment="1" applyProtection="1" pivotButton="0" quotePrefix="0" xfId="28">
      <alignment horizontal="center" vertical="center" wrapText="1"/>
      <protection locked="0" hidden="0"/>
    </xf>
    <xf numFmtId="168" fontId="20" fillId="5" borderId="52" applyAlignment="1" pivotButton="0" quotePrefix="0" xfId="40">
      <alignment vertical="center"/>
    </xf>
    <xf numFmtId="168" fontId="20" fillId="3" borderId="13" applyAlignment="1" pivotButton="0" quotePrefix="0" xfId="40">
      <alignment vertical="center"/>
    </xf>
    <xf numFmtId="168" fontId="20" fillId="3" borderId="54" applyAlignment="1" pivotButton="0" quotePrefix="0" xfId="40">
      <alignment vertical="center"/>
    </xf>
    <xf numFmtId="168" fontId="20" fillId="5" borderId="50" applyAlignment="1" pivotButton="0" quotePrefix="0" xfId="40">
      <alignment vertical="center"/>
    </xf>
    <xf numFmtId="0" fontId="47" fillId="0" borderId="0" applyAlignment="1" pivotButton="0" quotePrefix="0" xfId="42">
      <alignment horizontal="right"/>
    </xf>
    <xf numFmtId="0" fontId="47" fillId="0" borderId="0" applyAlignment="1" pivotButton="0" quotePrefix="0" xfId="42">
      <alignment horizontal="right" vertical="center"/>
    </xf>
    <xf numFmtId="169" fontId="13" fillId="7" borderId="51" applyAlignment="1" applyProtection="1" pivotButton="0" quotePrefix="0" xfId="23">
      <alignment vertical="center" wrapText="1"/>
      <protection locked="0" hidden="0"/>
    </xf>
    <xf numFmtId="169" fontId="13" fillId="7" borderId="49" applyAlignment="1" applyProtection="1" pivotButton="0" quotePrefix="0" xfId="23">
      <alignment vertical="center" wrapText="1"/>
      <protection locked="0" hidden="0"/>
    </xf>
    <xf numFmtId="168" fontId="13" fillId="5" borderId="49" applyAlignment="1" pivotButton="0" quotePrefix="0" xfId="40">
      <alignment vertical="center"/>
    </xf>
    <xf numFmtId="168" fontId="13" fillId="5" borderId="51" applyAlignment="1" pivotButton="0" quotePrefix="0" xfId="40">
      <alignment vertical="center"/>
    </xf>
    <xf numFmtId="168" fontId="13" fillId="3" borderId="10" applyAlignment="1" pivotButton="0" quotePrefix="0" xfId="40">
      <alignment vertical="center"/>
    </xf>
    <xf numFmtId="168" fontId="13" fillId="3" borderId="49" applyAlignment="1" pivotButton="0" quotePrefix="0" xfId="40">
      <alignment vertical="center"/>
    </xf>
    <xf numFmtId="169" fontId="13" fillId="7" borderId="54" applyAlignment="1" applyProtection="1" pivotButton="0" quotePrefix="0" xfId="23">
      <alignment vertical="center" wrapText="1"/>
      <protection locked="0" hidden="0"/>
    </xf>
    <xf numFmtId="168" fontId="13" fillId="5" borderId="13" applyAlignment="1" pivotButton="0" quotePrefix="0" xfId="40">
      <alignment vertical="center"/>
    </xf>
    <xf numFmtId="168" fontId="13" fillId="5" borderId="52" applyAlignment="1" pivotButton="0" quotePrefix="0" xfId="40">
      <alignment vertical="center"/>
    </xf>
    <xf numFmtId="168" fontId="13" fillId="3" borderId="0" applyAlignment="1" pivotButton="0" quotePrefix="0" xfId="40">
      <alignment vertical="center"/>
    </xf>
    <xf numFmtId="168" fontId="13" fillId="3" borderId="13" applyAlignment="1" pivotButton="0" quotePrefix="0" xfId="40">
      <alignment vertical="center"/>
    </xf>
    <xf numFmtId="168" fontId="13" fillId="3" borderId="11" applyAlignment="1" pivotButton="0" quotePrefix="0" xfId="40">
      <alignment vertical="center"/>
    </xf>
    <xf numFmtId="168" fontId="13" fillId="7" borderId="51" applyAlignment="1" applyProtection="1" pivotButton="0" quotePrefix="0" xfId="40">
      <alignment vertical="center" wrapText="1"/>
      <protection locked="0" hidden="0"/>
    </xf>
    <xf numFmtId="172" fontId="13" fillId="5" borderId="49" applyAlignment="1" pivotButton="0" quotePrefix="0" xfId="41">
      <alignment horizontal="center" vertical="center"/>
    </xf>
    <xf numFmtId="172" fontId="13" fillId="5" borderId="13" applyAlignment="1" pivotButton="0" quotePrefix="0" xfId="41">
      <alignment horizontal="center" vertical="center"/>
    </xf>
    <xf numFmtId="172" fontId="13" fillId="5" borderId="11" applyAlignment="1" pivotButton="0" quotePrefix="0" xfId="41">
      <alignment horizontal="center" vertical="center"/>
    </xf>
    <xf numFmtId="0" fontId="13" fillId="4" borderId="11" applyAlignment="1" applyProtection="1" pivotButton="0" quotePrefix="0" xfId="28">
      <alignment vertical="center" wrapText="1"/>
      <protection locked="0" hidden="0"/>
    </xf>
    <xf numFmtId="168" fontId="13" fillId="5" borderId="10" applyAlignment="1" pivotButton="0" quotePrefix="0" xfId="40">
      <alignment vertical="center"/>
    </xf>
    <xf numFmtId="169" fontId="13" fillId="7" borderId="13" applyAlignment="1" applyProtection="1" pivotButton="0" quotePrefix="0" xfId="23">
      <alignment vertical="center" wrapText="1"/>
      <protection locked="0" hidden="0"/>
    </xf>
    <xf numFmtId="168" fontId="13" fillId="5" borderId="0" applyAlignment="1" pivotButton="0" quotePrefix="0" xfId="40">
      <alignment vertical="center"/>
    </xf>
    <xf numFmtId="169" fontId="13" fillId="7" borderId="13" applyAlignment="1" applyProtection="1" pivotButton="0" quotePrefix="0" xfId="0">
      <alignment vertical="center" wrapText="1"/>
      <protection locked="0" hidden="0"/>
    </xf>
    <xf numFmtId="9" fontId="13" fillId="5" borderId="0" applyAlignment="1" pivotButton="0" quotePrefix="0" xfId="1">
      <alignment vertical="center"/>
    </xf>
    <xf numFmtId="169" fontId="13" fillId="7" borderId="11" applyAlignment="1" applyProtection="1" pivotButton="0" quotePrefix="0" xfId="28">
      <alignment vertical="center" wrapText="1"/>
      <protection locked="0" hidden="0"/>
    </xf>
    <xf numFmtId="9" fontId="13" fillId="5" borderId="6" applyAlignment="1" pivotButton="0" quotePrefix="0" xfId="1">
      <alignment vertical="center"/>
    </xf>
    <xf numFmtId="168" fontId="13" fillId="7" borderId="49" applyAlignment="1" applyProtection="1" pivotButton="0" quotePrefix="0" xfId="21">
      <alignment vertical="center" wrapText="1"/>
      <protection locked="0" hidden="0"/>
    </xf>
    <xf numFmtId="168" fontId="13" fillId="5" borderId="49" applyAlignment="1" pivotButton="0" quotePrefix="0" xfId="21">
      <alignment vertical="center"/>
    </xf>
    <xf numFmtId="184" fontId="13" fillId="0" borderId="0" applyAlignment="1" pivotButton="0" quotePrefix="0" xfId="21">
      <alignment vertical="center"/>
    </xf>
    <xf numFmtId="168" fontId="13" fillId="7" borderId="13" applyAlignment="1" applyProtection="1" pivotButton="0" quotePrefix="0" xfId="21">
      <alignment vertical="center" wrapText="1"/>
      <protection locked="0" hidden="0"/>
    </xf>
    <xf numFmtId="168" fontId="13" fillId="5" borderId="13" applyAlignment="1" pivotButton="0" quotePrefix="0" xfId="21">
      <alignment vertical="center"/>
    </xf>
    <xf numFmtId="168" fontId="13" fillId="7" borderId="11" applyAlignment="1" applyProtection="1" pivotButton="0" quotePrefix="0" xfId="21">
      <alignment vertical="center" wrapText="1"/>
      <protection locked="0" hidden="0"/>
    </xf>
    <xf numFmtId="168" fontId="13" fillId="5" borderId="11" applyAlignment="1" pivotButton="0" quotePrefix="0" xfId="21">
      <alignment vertical="center"/>
    </xf>
    <xf numFmtId="0" fontId="13" fillId="3" borderId="13" applyAlignment="1" pivotButton="0" quotePrefix="0" xfId="21">
      <alignment vertical="center"/>
    </xf>
    <xf numFmtId="168" fontId="13" fillId="7" borderId="51" applyAlignment="1" applyProtection="1" pivotButton="0" quotePrefix="0" xfId="21">
      <alignment vertical="center" wrapText="1"/>
      <protection locked="0" hidden="0"/>
    </xf>
    <xf numFmtId="172" fontId="13" fillId="5" borderId="49" applyAlignment="1" pivotButton="0" quotePrefix="0" xfId="1">
      <alignment horizontal="center" vertical="center"/>
    </xf>
    <xf numFmtId="168" fontId="13" fillId="7" borderId="52" applyAlignment="1" applyProtection="1" pivotButton="0" quotePrefix="0" xfId="21">
      <alignment vertical="center" wrapText="1"/>
      <protection locked="0" hidden="0"/>
    </xf>
    <xf numFmtId="172" fontId="13" fillId="5" borderId="13" applyAlignment="1" pivotButton="0" quotePrefix="0" xfId="1">
      <alignment horizontal="center" vertical="center"/>
    </xf>
    <xf numFmtId="172" fontId="13" fillId="5" borderId="11" applyAlignment="1" pivotButton="0" quotePrefix="0" xfId="1">
      <alignment horizontal="center" vertical="center"/>
    </xf>
    <xf numFmtId="168" fontId="13" fillId="7" borderId="52" applyAlignment="1" applyProtection="1" pivotButton="0" quotePrefix="0" xfId="21">
      <alignment horizontal="right" vertical="center" wrapText="1"/>
      <protection locked="0" hidden="0"/>
    </xf>
    <xf numFmtId="168" fontId="13" fillId="7" borderId="50" applyAlignment="1" applyProtection="1" pivotButton="0" quotePrefix="0" xfId="21">
      <alignment horizontal="right" vertical="center" wrapText="1"/>
      <protection locked="0" hidden="0"/>
    </xf>
    <xf numFmtId="168" fontId="13" fillId="0" borderId="0" applyAlignment="1" pivotButton="0" quotePrefix="0" xfId="21">
      <alignment horizontal="right" vertical="center" wrapText="1"/>
    </xf>
    <xf numFmtId="174" fontId="13" fillId="0" borderId="0" applyAlignment="1" pivotButton="0" quotePrefix="0" xfId="1">
      <alignment horizontal="center" vertical="center"/>
    </xf>
    <xf numFmtId="173" fontId="13" fillId="4" borderId="7" applyAlignment="1" applyProtection="1" pivotButton="0" quotePrefix="0" xfId="28">
      <alignment vertical="center" wrapText="1"/>
      <protection locked="0" hidden="0"/>
    </xf>
    <xf numFmtId="168" fontId="13" fillId="5" borderId="7" applyAlignment="1" pivotButton="0" quotePrefix="0" xfId="40">
      <alignment horizontal="right" vertical="center"/>
    </xf>
    <xf numFmtId="168" fontId="20" fillId="5" borderId="7" applyAlignment="1" pivotButton="0" quotePrefix="0" xfId="40">
      <alignment horizontal="right" vertical="center"/>
    </xf>
    <xf numFmtId="168" fontId="20" fillId="5" borderId="49" applyAlignment="1" pivotButton="0" quotePrefix="0" xfId="40">
      <alignment horizontal="right" vertical="center"/>
    </xf>
    <xf numFmtId="172" fontId="20" fillId="5" borderId="53" applyAlignment="1" pivotButton="0" quotePrefix="0" xfId="41">
      <alignment horizontal="center" vertical="center"/>
    </xf>
    <xf numFmtId="168" fontId="20" fillId="5" borderId="13" applyAlignment="1" pivotButton="0" quotePrefix="0" xfId="40">
      <alignment horizontal="right" vertical="center"/>
    </xf>
    <xf numFmtId="0" fontId="20" fillId="4" borderId="52" applyAlignment="1" applyProtection="1" pivotButton="0" quotePrefix="0" xfId="28">
      <alignment vertical="center" wrapText="1"/>
      <protection locked="0" hidden="0"/>
    </xf>
    <xf numFmtId="0" fontId="13" fillId="4" borderId="52" applyAlignment="1" applyProtection="1" pivotButton="0" quotePrefix="0" xfId="28">
      <alignment vertical="center" wrapText="1"/>
      <protection locked="0" hidden="0"/>
    </xf>
    <xf numFmtId="0" fontId="20" fillId="4" borderId="50" applyAlignment="1" applyProtection="1" pivotButton="0" quotePrefix="0" xfId="28">
      <alignment vertical="center" wrapText="1"/>
      <protection locked="0" hidden="0"/>
    </xf>
    <xf numFmtId="168" fontId="20" fillId="7" borderId="11" applyAlignment="1" applyProtection="1" pivotButton="0" quotePrefix="0" xfId="40">
      <alignment vertical="center" wrapText="1"/>
      <protection locked="0" hidden="0"/>
    </xf>
    <xf numFmtId="172" fontId="20" fillId="5" borderId="12" applyAlignment="1" pivotButton="0" quotePrefix="0" xfId="41">
      <alignment horizontal="center" vertical="center"/>
    </xf>
    <xf numFmtId="168" fontId="20" fillId="5" borderId="11" applyAlignment="1" pivotButton="0" quotePrefix="0" xfId="40">
      <alignment horizontal="right" vertical="center"/>
    </xf>
    <xf numFmtId="165" fontId="13" fillId="5" borderId="49" applyAlignment="1" pivotButton="0" quotePrefix="0" xfId="40">
      <alignment horizontal="right" vertical="center"/>
    </xf>
    <xf numFmtId="9" fontId="13" fillId="0" borderId="0" pivotButton="0" quotePrefix="0" xfId="1"/>
    <xf numFmtId="165" fontId="13" fillId="5" borderId="13" applyAlignment="1" pivotButton="0" quotePrefix="0" xfId="40">
      <alignment horizontal="right" vertical="center"/>
    </xf>
    <xf numFmtId="165" fontId="13" fillId="5" borderId="11" applyAlignment="1" pivotButton="0" quotePrefix="0" xfId="40">
      <alignment horizontal="right" vertical="center"/>
    </xf>
    <xf numFmtId="165" fontId="24" fillId="5" borderId="56" applyAlignment="1" pivotButton="0" quotePrefix="0" xfId="40">
      <alignment horizontal="right" vertical="center"/>
    </xf>
    <xf numFmtId="168" fontId="24" fillId="5" borderId="53" applyAlignment="1" pivotButton="0" quotePrefix="0" xfId="40">
      <alignment horizontal="center" vertical="center"/>
    </xf>
    <xf numFmtId="165" fontId="20" fillId="5" borderId="54" applyAlignment="1" pivotButton="0" quotePrefix="0" xfId="40">
      <alignment horizontal="right" vertical="center"/>
    </xf>
    <xf numFmtId="165" fontId="24" fillId="5" borderId="57" applyAlignment="1" pivotButton="0" quotePrefix="0" xfId="40">
      <alignment horizontal="right" vertical="center"/>
    </xf>
    <xf numFmtId="168" fontId="20" fillId="5" borderId="10" applyAlignment="1" pivotButton="0" quotePrefix="0" xfId="40">
      <alignment horizontal="left" vertical="center"/>
    </xf>
    <xf numFmtId="168" fontId="20" fillId="2" borderId="10" applyAlignment="1" pivotButton="0" quotePrefix="0" xfId="40">
      <alignment horizontal="left" vertical="center"/>
    </xf>
    <xf numFmtId="168" fontId="20" fillId="2" borderId="53" applyAlignment="1" pivotButton="0" quotePrefix="0" xfId="40">
      <alignment horizontal="left" vertical="center"/>
    </xf>
    <xf numFmtId="165" fontId="20" fillId="5" borderId="53" applyAlignment="1" pivotButton="0" quotePrefix="0" xfId="40">
      <alignment horizontal="right" vertical="center"/>
    </xf>
    <xf numFmtId="168" fontId="20" fillId="5" borderId="0" applyAlignment="1" pivotButton="0" quotePrefix="0" xfId="40">
      <alignment horizontal="left" vertical="center"/>
    </xf>
    <xf numFmtId="168" fontId="20" fillId="2" borderId="0" applyAlignment="1" pivotButton="0" quotePrefix="0" xfId="40">
      <alignment horizontal="left" vertical="center"/>
    </xf>
    <xf numFmtId="168" fontId="20" fillId="2" borderId="54" applyAlignment="1" pivotButton="0" quotePrefix="0" xfId="40">
      <alignment horizontal="left" vertical="center"/>
    </xf>
    <xf numFmtId="168" fontId="20" fillId="0" borderId="0" applyAlignment="1" pivotButton="0" quotePrefix="0" xfId="40">
      <alignment horizontal="right"/>
    </xf>
    <xf numFmtId="165" fontId="13" fillId="5" borderId="53" applyAlignment="1" pivotButton="0" quotePrefix="0" xfId="40">
      <alignment horizontal="right" vertical="center"/>
    </xf>
    <xf numFmtId="165" fontId="13" fillId="5" borderId="54" applyAlignment="1" pivotButton="0" quotePrefix="0" xfId="40">
      <alignment horizontal="right" vertical="center"/>
    </xf>
    <xf numFmtId="165" fontId="13" fillId="5" borderId="12" applyAlignment="1" pivotButton="0" quotePrefix="0" xfId="40">
      <alignment horizontal="right" vertical="center"/>
    </xf>
    <xf numFmtId="165" fontId="25" fillId="5" borderId="58" applyAlignment="1" pivotButton="0" quotePrefix="0" xfId="40">
      <alignment horizontal="right" vertical="center"/>
    </xf>
    <xf numFmtId="165" fontId="25" fillId="5" borderId="57" applyAlignment="1" pivotButton="0" quotePrefix="0" xfId="40">
      <alignment horizontal="right" vertical="center"/>
    </xf>
    <xf numFmtId="165" fontId="25" fillId="5" borderId="54" applyAlignment="1" pivotButton="0" quotePrefix="0" xfId="40">
      <alignment horizontal="right" vertical="center"/>
    </xf>
    <xf numFmtId="167" fontId="13" fillId="18" borderId="7" applyAlignment="1" pivotButton="0" quotePrefix="0" xfId="21">
      <alignment vertical="center"/>
    </xf>
    <xf numFmtId="165" fontId="13" fillId="7" borderId="7" applyAlignment="1" applyProtection="1" pivotButton="0" quotePrefix="0" xfId="21">
      <alignment horizontal="center" vertical="center" wrapText="1"/>
      <protection locked="0" hidden="0"/>
    </xf>
    <xf numFmtId="174" fontId="13" fillId="5" borderId="7" applyAlignment="1" pivotButton="0" quotePrefix="0" xfId="13">
      <alignment horizontal="center" vertical="center"/>
    </xf>
    <xf numFmtId="172" fontId="13" fillId="5" borderId="7" applyAlignment="1" pivotButton="0" quotePrefix="0" xfId="13">
      <alignment horizontal="center" vertical="center"/>
    </xf>
    <xf numFmtId="165" fontId="25" fillId="5" borderId="7" applyAlignment="1" pivotButton="0" quotePrefix="0" xfId="21">
      <alignment horizontal="center" vertical="center"/>
    </xf>
    <xf numFmtId="0" fontId="13" fillId="18" borderId="7" applyAlignment="1" pivotButton="0" quotePrefix="0" xfId="21">
      <alignment horizontal="center" vertical="center"/>
    </xf>
    <xf numFmtId="0" fontId="13" fillId="0" borderId="0" pivotButton="0" quotePrefix="0" xfId="27"/>
    <xf numFmtId="0" fontId="13" fillId="0" borderId="0" applyAlignment="1" pivotButton="0" quotePrefix="0" xfId="27">
      <alignment horizontal="center"/>
    </xf>
    <xf numFmtId="166" fontId="13" fillId="0" borderId="7" applyAlignment="1" pivotButton="0" quotePrefix="0" xfId="26">
      <alignment vertical="center" wrapText="1"/>
    </xf>
    <xf numFmtId="0" fontId="13" fillId="18" borderId="49" applyAlignment="1" pivotButton="0" quotePrefix="0" xfId="26">
      <alignment horizontal="center" vertical="center" wrapText="1"/>
    </xf>
    <xf numFmtId="0" fontId="13" fillId="18" borderId="13" applyAlignment="1" pivotButton="0" quotePrefix="0" xfId="26">
      <alignment horizontal="center" vertical="center" wrapText="1"/>
    </xf>
    <xf numFmtId="166" fontId="13" fillId="18" borderId="11" applyAlignment="1" pivotButton="0" quotePrefix="0" xfId="13">
      <alignment horizontal="right" vertical="center"/>
    </xf>
    <xf numFmtId="166" fontId="13" fillId="18" borderId="6" applyAlignment="1" pivotButton="0" quotePrefix="0" xfId="13">
      <alignment horizontal="right" vertical="center"/>
    </xf>
    <xf numFmtId="165" fontId="13" fillId="5" borderId="7" applyAlignment="1" pivotButton="0" quotePrefix="0" xfId="13">
      <alignment horizontal="left" vertical="center" wrapText="1"/>
    </xf>
    <xf numFmtId="165" fontId="13" fillId="18" borderId="9" applyAlignment="1" pivotButton="0" quotePrefix="0" xfId="26">
      <alignment horizontal="right" vertical="center"/>
    </xf>
    <xf numFmtId="166" fontId="13" fillId="0" borderId="0" applyAlignment="1" pivotButton="0" quotePrefix="0" xfId="26">
      <alignment horizontal="right"/>
    </xf>
    <xf numFmtId="165" fontId="13" fillId="18" borderId="9" applyAlignment="1" pivotButton="0" quotePrefix="0" xfId="13">
      <alignment horizontal="right" vertical="center"/>
    </xf>
    <xf numFmtId="165" fontId="13" fillId="18" borderId="7" applyAlignment="1" pivotButton="0" quotePrefix="0" xfId="13">
      <alignment horizontal="right" vertical="center"/>
    </xf>
    <xf numFmtId="166" fontId="13" fillId="0" borderId="0" applyAlignment="1" pivotButton="0" quotePrefix="0" xfId="26">
      <alignment vertical="center" wrapText="1"/>
    </xf>
    <xf numFmtId="165" fontId="13" fillId="18" borderId="7" applyAlignment="1" pivotButton="0" quotePrefix="0" xfId="26">
      <alignment horizontal="right" vertical="center"/>
    </xf>
    <xf numFmtId="0" fontId="13" fillId="0" borderId="0" applyAlignment="1" pivotButton="0" quotePrefix="0" xfId="13">
      <alignment horizontal="left"/>
    </xf>
    <xf numFmtId="165" fontId="13" fillId="0" borderId="9" applyAlignment="1" pivotButton="0" quotePrefix="0" xfId="26">
      <alignment horizontal="right" vertical="center"/>
    </xf>
    <xf numFmtId="165" fontId="13" fillId="0" borderId="7" applyAlignment="1" pivotButton="0" quotePrefix="0" xfId="26">
      <alignment horizontal="right" vertical="center"/>
    </xf>
    <xf numFmtId="165" fontId="13" fillId="5" borderId="9" applyAlignment="1" pivotButton="0" quotePrefix="0" xfId="13">
      <alignment horizontal="right" vertical="center"/>
    </xf>
    <xf numFmtId="166" fontId="13" fillId="18" borderId="13" applyAlignment="1" pivotButton="0" quotePrefix="0" xfId="26">
      <alignment vertical="center" wrapText="1"/>
    </xf>
    <xf numFmtId="165" fontId="13" fillId="15" borderId="9" applyAlignment="1" pivotButton="0" quotePrefix="0" xfId="13">
      <alignment horizontal="right" vertical="center"/>
    </xf>
    <xf numFmtId="166" fontId="13" fillId="18" borderId="54" applyAlignment="1" pivotButton="0" quotePrefix="0" xfId="26">
      <alignment vertical="center" wrapText="1"/>
    </xf>
    <xf numFmtId="166" fontId="13" fillId="2" borderId="9" applyAlignment="1" pivotButton="0" quotePrefix="0" xfId="13">
      <alignment horizontal="right" vertical="center"/>
    </xf>
    <xf numFmtId="165" fontId="13" fillId="7" borderId="9" applyAlignment="1" applyProtection="1" pivotButton="0" quotePrefix="0" xfId="1">
      <alignment horizontal="right" vertical="center" wrapText="1"/>
      <protection locked="0" hidden="0"/>
    </xf>
    <xf numFmtId="165" fontId="13" fillId="15" borderId="53" applyAlignment="1" pivotButton="0" quotePrefix="0" xfId="13">
      <alignment horizontal="right" vertical="center"/>
    </xf>
    <xf numFmtId="165" fontId="13" fillId="15" borderId="12" applyAlignment="1" pivotButton="0" quotePrefix="0" xfId="13">
      <alignment horizontal="right" vertical="center"/>
    </xf>
    <xf numFmtId="166" fontId="13" fillId="18" borderId="11" applyAlignment="1" pivotButton="0" quotePrefix="0" xfId="26">
      <alignment vertical="center" wrapText="1"/>
    </xf>
    <xf numFmtId="166" fontId="13" fillId="0" borderId="0" applyAlignment="1" pivotButton="0" quotePrefix="0" xfId="13">
      <alignment horizontal="right" vertical="center"/>
    </xf>
    <xf numFmtId="9" fontId="13" fillId="5" borderId="7" applyAlignment="1" pivotButton="0" quotePrefix="0" xfId="48">
      <alignment horizontal="right" vertical="center"/>
    </xf>
    <xf numFmtId="0" fontId="49" fillId="9" borderId="13" applyAlignment="1" applyProtection="1" pivotButton="0" quotePrefix="0" xfId="17">
      <alignment horizontal="left" vertical="center" wrapText="1"/>
      <protection locked="0" hidden="0"/>
    </xf>
    <xf numFmtId="165" fontId="25" fillId="5" borderId="7" applyAlignment="1" pivotButton="0" quotePrefix="0" xfId="13">
      <alignment horizontal="right" vertical="center"/>
    </xf>
    <xf numFmtId="165" fontId="13" fillId="7" borderId="9" applyAlignment="1" applyProtection="1" pivotButton="0" quotePrefix="0" xfId="27">
      <alignment horizontal="center" vertical="center" wrapText="1"/>
      <protection locked="0" hidden="0"/>
    </xf>
    <xf numFmtId="165" fontId="25" fillId="5" borderId="9" applyAlignment="1" pivotButton="0" quotePrefix="0" xfId="21">
      <alignment horizontal="center" vertical="center"/>
    </xf>
    <xf numFmtId="165" fontId="13" fillId="7" borderId="7" applyAlignment="1" applyProtection="1" pivotButton="0" quotePrefix="0" xfId="27">
      <alignment vertical="center" wrapText="1"/>
      <protection locked="0" hidden="0"/>
    </xf>
    <xf numFmtId="185" fontId="13" fillId="3" borderId="7" applyAlignment="1" pivotButton="0" quotePrefix="0" xfId="48">
      <alignment horizontal="right" vertical="center"/>
    </xf>
    <xf numFmtId="186" fontId="13" fillId="3" borderId="7" applyAlignment="1" pivotButton="0" quotePrefix="0" xfId="48">
      <alignment horizontal="right" vertical="center"/>
    </xf>
    <xf numFmtId="0" fontId="20" fillId="12" borderId="0" pivotButton="0" quotePrefix="0" xfId="20"/>
    <xf numFmtId="0" fontId="20" fillId="21" borderId="0" pivotButton="0" quotePrefix="0" xfId="20"/>
    <xf numFmtId="0" fontId="13" fillId="0" borderId="0" applyAlignment="1" pivotButton="0" quotePrefix="0" xfId="26">
      <alignment vertical="center" wrapText="1"/>
    </xf>
    <xf numFmtId="186" fontId="13" fillId="0" borderId="0" applyAlignment="1" pivotButton="0" quotePrefix="0" xfId="48">
      <alignment horizontal="center"/>
    </xf>
    <xf numFmtId="165" fontId="13" fillId="5" borderId="7" applyAlignment="1" pivotButton="0" quotePrefix="1" xfId="13">
      <alignment horizontal="right" vertical="center"/>
    </xf>
    <xf numFmtId="165" fontId="13" fillId="18" borderId="7" applyAlignment="1" pivotButton="0" quotePrefix="0" xfId="48">
      <alignment vertical="center"/>
    </xf>
    <xf numFmtId="0" fontId="20" fillId="0" borderId="0" applyAlignment="1" pivotButton="0" quotePrefix="0" xfId="20">
      <alignment horizontal="right"/>
    </xf>
    <xf numFmtId="9" fontId="13" fillId="0" borderId="0" pivotButton="0" quotePrefix="0" xfId="48"/>
    <xf numFmtId="165" fontId="13" fillId="18" borderId="49" applyAlignment="1" pivotButton="0" quotePrefix="0" xfId="26">
      <alignment horizontal="right" vertical="center"/>
    </xf>
    <xf numFmtId="165" fontId="13" fillId="5" borderId="7" applyAlignment="1" pivotButton="0" quotePrefix="0" xfId="26">
      <alignment horizontal="right" vertical="center"/>
    </xf>
    <xf numFmtId="165" fontId="13" fillId="18" borderId="13" applyAlignment="1" pivotButton="0" quotePrefix="0" xfId="26">
      <alignment horizontal="right" vertical="center"/>
    </xf>
    <xf numFmtId="165" fontId="13" fillId="18" borderId="11" applyAlignment="1" pivotButton="0" quotePrefix="0" xfId="13">
      <alignment horizontal="right" vertical="center"/>
    </xf>
    <xf numFmtId="165" fontId="13" fillId="18" borderId="11" applyAlignment="1" pivotButton="0" quotePrefix="0" xfId="26">
      <alignment horizontal="right" vertical="center"/>
    </xf>
    <xf numFmtId="165" fontId="13" fillId="5" borderId="7" applyAlignment="1" pivotButton="0" quotePrefix="1" xfId="26">
      <alignment horizontal="right" vertical="center"/>
    </xf>
    <xf numFmtId="169" fontId="13" fillId="0" borderId="0" applyAlignment="1" pivotButton="0" quotePrefix="1" xfId="13">
      <alignment horizontal="right"/>
    </xf>
    <xf numFmtId="169" fontId="13" fillId="0" borderId="0" applyAlignment="1" pivotButton="0" quotePrefix="0" xfId="26">
      <alignment horizontal="right"/>
    </xf>
    <xf numFmtId="174" fontId="13" fillId="5" borderId="9" applyAlignment="1" pivotButton="0" quotePrefix="0" xfId="1">
      <alignment horizontal="center" vertical="center"/>
    </xf>
    <xf numFmtId="174" fontId="13" fillId="5" borderId="7" applyAlignment="1" pivotButton="0" quotePrefix="0" xfId="1">
      <alignment horizontal="center" vertical="center"/>
    </xf>
    <xf numFmtId="169" fontId="26" fillId="0" borderId="0" applyAlignment="1" pivotButton="0" quotePrefix="1" xfId="26">
      <alignment horizontal="right"/>
    </xf>
    <xf numFmtId="169" fontId="13" fillId="0" borderId="0" pivotButton="0" quotePrefix="0" xfId="26"/>
    <xf numFmtId="165" fontId="13" fillId="5" borderId="7" applyAlignment="1" pivotButton="0" quotePrefix="1" xfId="26">
      <alignment vertical="center"/>
    </xf>
    <xf numFmtId="165" fontId="13" fillId="18" borderId="7" applyAlignment="1" pivotButton="0" quotePrefix="0" xfId="48">
      <alignment horizontal="center" vertical="center"/>
    </xf>
    <xf numFmtId="165" fontId="13" fillId="5" borderId="7" applyAlignment="1" pivotButton="0" quotePrefix="0" xfId="26">
      <alignment vertical="center"/>
    </xf>
    <xf numFmtId="0" fontId="20" fillId="4" borderId="7" applyAlignment="1" applyProtection="1" pivotButton="0" quotePrefix="0" xfId="20">
      <alignment vertical="center" wrapText="1"/>
      <protection locked="0" hidden="0"/>
    </xf>
    <xf numFmtId="171" fontId="20" fillId="10" borderId="7" applyAlignment="1" applyProtection="1" pivotButton="0" quotePrefix="0" xfId="20">
      <alignment vertical="center" wrapText="1"/>
      <protection locked="0" hidden="0"/>
    </xf>
    <xf numFmtId="165" fontId="20" fillId="7" borderId="7" applyAlignment="1" applyProtection="1" pivotButton="0" quotePrefix="0" xfId="20">
      <alignment vertical="center" wrapText="1"/>
      <protection locked="0" hidden="0"/>
    </xf>
    <xf numFmtId="0" fontId="20" fillId="12" borderId="0" applyAlignment="1" pivotButton="0" quotePrefix="0" xfId="0">
      <alignment horizontal="center"/>
    </xf>
    <xf numFmtId="0" fontId="20" fillId="0" borderId="7" applyAlignment="1" pivotButton="0" quotePrefix="0" xfId="0">
      <alignment vertical="top"/>
    </xf>
    <xf numFmtId="0" fontId="20" fillId="5" borderId="7" pivotButton="0" quotePrefix="0" xfId="0"/>
    <xf numFmtId="0" fontId="13" fillId="0" borderId="0" applyAlignment="1" pivotButton="0" quotePrefix="0" xfId="0">
      <alignment horizontal="left" vertical="top"/>
    </xf>
    <xf numFmtId="0" fontId="20" fillId="3" borderId="7" pivotButton="0" quotePrefix="0" xfId="0"/>
    <xf numFmtId="0" fontId="13" fillId="0" borderId="8" applyAlignment="1" pivotButton="0" quotePrefix="0" xfId="17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0" fontId="25" fillId="0" borderId="8" applyAlignment="1" pivotButton="0" quotePrefix="0" xfId="17">
      <alignment horizontal="left" vertical="center" wrapText="1"/>
    </xf>
    <xf numFmtId="0" fontId="25" fillId="0" borderId="7" applyAlignment="1" pivotButton="0" quotePrefix="0" xfId="17">
      <alignment horizontal="center" vertical="center" wrapText="1"/>
    </xf>
    <xf numFmtId="0" fontId="25" fillId="0" borderId="7" applyAlignment="1" pivotButton="0" quotePrefix="0" xfId="17">
      <alignment horizontal="center" vertical="center" wrapText="1"/>
    </xf>
    <xf numFmtId="3" fontId="25" fillId="0" borderId="7" applyAlignment="1" pivotButton="0" quotePrefix="0" xfId="17">
      <alignment horizontal="center" vertical="center" wrapText="1"/>
    </xf>
    <xf numFmtId="165" fontId="13" fillId="5" borderId="7" applyAlignment="1" pivotButton="0" quotePrefix="0" xfId="17">
      <alignment horizontal="center" vertical="center" wrapText="1"/>
    </xf>
    <xf numFmtId="165" fontId="13" fillId="7" borderId="7" applyAlignment="1" applyProtection="1" pivotButton="0" quotePrefix="0" xfId="13">
      <alignment horizontal="center" vertical="center" wrapText="1"/>
      <protection locked="0" hidden="0"/>
    </xf>
    <xf numFmtId="0" fontId="25" fillId="3" borderId="0" applyAlignment="1" pivotButton="0" quotePrefix="1" xfId="17">
      <alignment horizontal="center" vertical="center" wrapText="1"/>
    </xf>
    <xf numFmtId="0" fontId="25" fillId="0" borderId="0" applyAlignment="1" pivotButton="0" quotePrefix="1" xfId="17">
      <alignment horizontal="center" vertical="center" wrapText="1"/>
    </xf>
    <xf numFmtId="0" fontId="25" fillId="3" borderId="15" pivotButton="0" quotePrefix="0" xfId="0"/>
    <xf numFmtId="0" fontId="24" fillId="3" borderId="16" applyAlignment="1" pivotButton="0" quotePrefix="0" xfId="19">
      <alignment horizontal="left" wrapText="1"/>
    </xf>
    <xf numFmtId="0" fontId="28" fillId="3" borderId="17" applyAlignment="1" pivotButton="0" quotePrefix="0" xfId="19">
      <alignment vertical="center" wrapText="1"/>
    </xf>
    <xf numFmtId="0" fontId="28" fillId="3" borderId="18" applyAlignment="1" pivotButton="0" quotePrefix="0" xfId="19">
      <alignment vertical="center" wrapText="1"/>
    </xf>
    <xf numFmtId="0" fontId="24" fillId="3" borderId="18" applyAlignment="1" pivotButton="0" quotePrefix="0" xfId="19">
      <alignment horizontal="left" wrapText="1"/>
    </xf>
    <xf numFmtId="0" fontId="13" fillId="3" borderId="19" pivotButton="0" quotePrefix="0" xfId="0"/>
    <xf numFmtId="0" fontId="13" fillId="3" borderId="20" pivotButton="0" quotePrefix="0" xfId="0"/>
    <xf numFmtId="0" fontId="13" fillId="3" borderId="12" pivotButton="0" quotePrefix="0" xfId="0"/>
    <xf numFmtId="0" fontId="13" fillId="3" borderId="11" pivotButton="0" quotePrefix="0" xfId="0"/>
    <xf numFmtId="0" fontId="13" fillId="3" borderId="21" pivotButton="0" quotePrefix="0" xfId="0"/>
    <xf numFmtId="0" fontId="13" fillId="3" borderId="22" pivotButton="0" quotePrefix="0" xfId="0"/>
    <xf numFmtId="0" fontId="13" fillId="3" borderId="9" pivotButton="0" quotePrefix="0" xfId="0"/>
    <xf numFmtId="0" fontId="13" fillId="3" borderId="7" pivotButton="0" quotePrefix="0" xfId="0"/>
    <xf numFmtId="0" fontId="13" fillId="3" borderId="22" applyAlignment="1" pivotButton="0" quotePrefix="0" xfId="19">
      <alignment vertical="center" wrapText="1"/>
    </xf>
    <xf numFmtId="0" fontId="13" fillId="3" borderId="7" applyAlignment="1" pivotButton="0" quotePrefix="0" xfId="19">
      <alignment vertical="center" wrapText="1"/>
    </xf>
    <xf numFmtId="0" fontId="20" fillId="3" borderId="9" applyAlignment="1" pivotButton="0" quotePrefix="0" xfId="19">
      <alignment vertical="center"/>
    </xf>
    <xf numFmtId="0" fontId="20" fillId="3" borderId="7" applyAlignment="1" pivotButton="0" quotePrefix="0" xfId="19">
      <alignment vertical="center"/>
    </xf>
    <xf numFmtId="0" fontId="20" fillId="3" borderId="22" applyAlignment="1" pivotButton="0" quotePrefix="0" xfId="19">
      <alignment vertical="center"/>
    </xf>
    <xf numFmtId="0" fontId="20" fillId="3" borderId="23" pivotButton="0" quotePrefix="0" xfId="0"/>
    <xf numFmtId="0" fontId="20" fillId="3" borderId="24" applyAlignment="1" pivotButton="0" quotePrefix="0" xfId="19">
      <alignment vertical="center"/>
    </xf>
    <xf numFmtId="0" fontId="20" fillId="3" borderId="25" applyAlignment="1" pivotButton="0" quotePrefix="0" xfId="19">
      <alignment vertical="center"/>
    </xf>
    <xf numFmtId="0" fontId="20" fillId="3" borderId="26" applyAlignment="1" pivotButton="0" quotePrefix="0" xfId="19">
      <alignment vertical="center"/>
    </xf>
    <xf numFmtId="0" fontId="25" fillId="12" borderId="0" pivotButton="0" quotePrefix="0" xfId="0"/>
    <xf numFmtId="0" fontId="13" fillId="0" borderId="7" applyAlignment="1" pivotButton="0" quotePrefix="0" xfId="0">
      <alignment vertical="center"/>
    </xf>
    <xf numFmtId="0" fontId="20" fillId="5" borderId="7" applyAlignment="1" pivotButton="0" quotePrefix="0" xfId="0">
      <alignment horizontal="left" vertical="center"/>
    </xf>
    <xf numFmtId="171" fontId="20" fillId="5" borderId="7" applyAlignment="1" pivotButton="0" quotePrefix="0" xfId="0">
      <alignment horizontal="left" vertical="center"/>
    </xf>
    <xf numFmtId="0" fontId="20" fillId="3" borderId="7" applyAlignment="1" pivotButton="0" quotePrefix="0" xfId="0">
      <alignment horizontal="left" vertical="center"/>
    </xf>
    <xf numFmtId="0" fontId="20" fillId="0" borderId="27" applyAlignment="1" pivotButton="0" quotePrefix="0" xfId="0">
      <alignment horizontal="center" wrapText="1"/>
    </xf>
    <xf numFmtId="0" fontId="20" fillId="0" borderId="28" pivotButton="0" quotePrefix="0" xfId="0"/>
    <xf numFmtId="0" fontId="20" fillId="0" borderId="29" pivotButton="0" quotePrefix="0" xfId="0"/>
    <xf numFmtId="0" fontId="20" fillId="0" borderId="30" pivotButton="0" quotePrefix="0" xfId="0"/>
    <xf numFmtId="0" fontId="20" fillId="0" borderId="30" applyAlignment="1" pivotButton="0" quotePrefix="0" xfId="0">
      <alignment horizontal="center"/>
    </xf>
    <xf numFmtId="0" fontId="13" fillId="3" borderId="27" applyAlignment="1" pivotButton="0" quotePrefix="0" xfId="0">
      <alignment horizontal="center" vertical="center" wrapText="1"/>
    </xf>
    <xf numFmtId="0" fontId="20" fillId="3" borderId="30" applyAlignment="1" pivotButton="0" quotePrefix="0" xfId="0">
      <alignment horizontal="center" vertical="center" wrapText="1"/>
    </xf>
    <xf numFmtId="0" fontId="13" fillId="3" borderId="30" applyAlignment="1" pivotButton="0" quotePrefix="0" xfId="0">
      <alignment horizontal="center" vertical="center" wrapText="1"/>
    </xf>
    <xf numFmtId="0" fontId="20" fillId="3" borderId="27" applyAlignment="1" pivotButton="0" quotePrefix="0" xfId="0">
      <alignment horizontal="center" vertical="center" wrapText="1"/>
    </xf>
    <xf numFmtId="0" fontId="20" fillId="11" borderId="32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13" fillId="11" borderId="33" applyAlignment="1" pivotButton="0" quotePrefix="0" xfId="0">
      <alignment horizontal="center" vertical="center" wrapText="1"/>
    </xf>
    <xf numFmtId="0" fontId="13" fillId="11" borderId="32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top" wrapText="1"/>
    </xf>
    <xf numFmtId="0" fontId="25" fillId="11" borderId="40" applyAlignment="1" pivotButton="0" quotePrefix="0" xfId="0">
      <alignment vertical="center" wrapText="1"/>
    </xf>
    <xf numFmtId="0" fontId="13" fillId="0" borderId="41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/>
    </xf>
    <xf numFmtId="0" fontId="24" fillId="0" borderId="0" applyAlignment="1" pivotButton="0" quotePrefix="0" xfId="0">
      <alignment vertical="center" wrapText="1"/>
    </xf>
    <xf numFmtId="0" fontId="24" fillId="0" borderId="42" applyAlignment="1" pivotButton="0" quotePrefix="0" xfId="0">
      <alignment vertical="center" wrapText="1"/>
    </xf>
    <xf numFmtId="0" fontId="20" fillId="0" borderId="27" applyAlignment="1" pivotButton="0" quotePrefix="0" xfId="0">
      <alignment horizontal="center"/>
    </xf>
    <xf numFmtId="0" fontId="20" fillId="0" borderId="28" applyAlignment="1" pivotButton="0" quotePrefix="0" xfId="0">
      <alignment horizontal="center"/>
    </xf>
    <xf numFmtId="0" fontId="25" fillId="3" borderId="40" applyAlignment="1" pivotButton="0" quotePrefix="0" xfId="0">
      <alignment vertical="center" wrapText="1"/>
    </xf>
    <xf numFmtId="166" fontId="24" fillId="3" borderId="41" applyAlignment="1" pivotButton="0" quotePrefix="0" xfId="0">
      <alignment vertical="center" wrapText="1"/>
    </xf>
    <xf numFmtId="166" fontId="24" fillId="0" borderId="0" applyAlignment="1" pivotButton="0" quotePrefix="0" xfId="0">
      <alignment vertical="center" wrapText="1"/>
    </xf>
    <xf numFmtId="166" fontId="24" fillId="3" borderId="40" applyAlignment="1" pivotButton="0" quotePrefix="0" xfId="0">
      <alignment vertical="center" wrapText="1"/>
    </xf>
    <xf numFmtId="0" fontId="25" fillId="0" borderId="40" applyAlignment="1" pivotButton="0" quotePrefix="0" xfId="0">
      <alignment vertical="center" wrapText="1"/>
    </xf>
    <xf numFmtId="166" fontId="13" fillId="19" borderId="41" applyAlignment="1" applyProtection="1" pivotButton="0" quotePrefix="0" xfId="22">
      <alignment vertical="center" wrapText="1"/>
      <protection locked="0" hidden="0"/>
    </xf>
    <xf numFmtId="0" fontId="13" fillId="0" borderId="40" applyAlignment="1" pivotButton="0" quotePrefix="0" xfId="0">
      <alignment horizontal="left" vertical="center" wrapText="1" indent="1"/>
    </xf>
    <xf numFmtId="166" fontId="13" fillId="19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13">
      <alignment horizontal="right" wrapText="1"/>
      <protection locked="0" hidden="0"/>
    </xf>
    <xf numFmtId="166" fontId="13" fillId="7" borderId="40" applyAlignment="1" applyProtection="1" pivotButton="0" quotePrefix="0" xfId="13">
      <alignment horizontal="right" wrapText="1"/>
      <protection locked="0" hidden="0"/>
    </xf>
    <xf numFmtId="166" fontId="13" fillId="19" borderId="41" applyAlignment="1" applyProtection="1" pivotButton="0" quotePrefix="0" xfId="22">
      <alignment horizontal="right" wrapText="1"/>
      <protection locked="0" hidden="0"/>
    </xf>
    <xf numFmtId="166" fontId="13" fillId="19" borderId="40" applyAlignment="1" applyProtection="1" pivotButton="0" quotePrefix="0" xfId="22">
      <alignment horizontal="right" wrapText="1"/>
      <protection locked="0" hidden="0"/>
    </xf>
    <xf numFmtId="0" fontId="13" fillId="11" borderId="40" applyAlignment="1" pivotButton="0" quotePrefix="0" xfId="0">
      <alignment horizontal="left" vertical="center" wrapText="1" indent="1"/>
    </xf>
    <xf numFmtId="0" fontId="13" fillId="11" borderId="40" applyAlignment="1" pivotButton="0" quotePrefix="0" xfId="0">
      <alignment vertical="center" wrapText="1"/>
    </xf>
    <xf numFmtId="0" fontId="13" fillId="11" borderId="40" applyAlignment="1" pivotButton="0" quotePrefix="0" xfId="0">
      <alignment horizontal="left" vertical="center" wrapText="1" indent="2"/>
    </xf>
    <xf numFmtId="166" fontId="20" fillId="0" borderId="41" applyAlignment="1" pivotButton="0" quotePrefix="0" xfId="0">
      <alignment vertical="center" wrapText="1"/>
    </xf>
    <xf numFmtId="166" fontId="20" fillId="0" borderId="0" applyAlignment="1" pivotButton="0" quotePrefix="0" xfId="0">
      <alignment vertical="center" wrapText="1"/>
    </xf>
    <xf numFmtId="166" fontId="20" fillId="0" borderId="40" applyAlignment="1" pivotButton="0" quotePrefix="0" xfId="0">
      <alignment vertical="center" wrapText="1"/>
    </xf>
    <xf numFmtId="0" fontId="13" fillId="0" borderId="40" applyAlignment="1" pivotButton="0" quotePrefix="0" xfId="0">
      <alignment horizontal="left" vertical="center" wrapText="1" indent="2"/>
    </xf>
    <xf numFmtId="0" fontId="25" fillId="2" borderId="40" applyAlignment="1" pivotButton="0" quotePrefix="0" xfId="0">
      <alignment vertical="center" wrapText="1"/>
    </xf>
    <xf numFmtId="0" fontId="25" fillId="11" borderId="40" applyAlignment="1" pivotButton="0" quotePrefix="0" xfId="0">
      <alignment horizontal="left" vertical="center" wrapText="1" indent="1"/>
    </xf>
    <xf numFmtId="166" fontId="13" fillId="7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22">
      <alignment vertical="center" wrapText="1"/>
      <protection locked="0" hidden="0"/>
    </xf>
    <xf numFmtId="166" fontId="13" fillId="19" borderId="36" applyAlignment="1" applyProtection="1" pivotButton="0" quotePrefix="0" xfId="22">
      <alignment vertical="center" wrapText="1"/>
      <protection locked="0" hidden="0"/>
    </xf>
    <xf numFmtId="166" fontId="13" fillId="19" borderId="33" applyAlignment="1" applyProtection="1" pivotButton="0" quotePrefix="0" xfId="22">
      <alignment vertical="center" wrapText="1"/>
      <protection locked="0" hidden="0"/>
    </xf>
    <xf numFmtId="0" fontId="25" fillId="11" borderId="33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42" applyAlignment="1" pivotButton="0" quotePrefix="0" xfId="0">
      <alignment vertical="center" wrapText="1"/>
    </xf>
    <xf numFmtId="0" fontId="25" fillId="0" borderId="36" applyAlignment="1" pivotButton="0" quotePrefix="0" xfId="0">
      <alignment vertical="center" wrapText="1"/>
    </xf>
    <xf numFmtId="0" fontId="25" fillId="0" borderId="48" applyAlignment="1" pivotButton="0" quotePrefix="0" xfId="0">
      <alignment vertical="center" wrapText="1"/>
    </xf>
    <xf numFmtId="0" fontId="13" fillId="4" borderId="48" applyAlignment="1" applyProtection="1" pivotButton="0" quotePrefix="0" xfId="13">
      <alignment horizontal="right" wrapText="1"/>
      <protection locked="0" hidden="0"/>
    </xf>
    <xf numFmtId="0" fontId="13" fillId="5" borderId="7" applyAlignment="1" pivotButton="0" quotePrefix="0" xfId="23">
      <alignment horizontal="center"/>
    </xf>
    <xf numFmtId="0" fontId="13" fillId="11" borderId="7" applyAlignment="1" pivotButton="0" quotePrefix="0" xfId="0">
      <alignment vertical="center" wrapText="1"/>
    </xf>
    <xf numFmtId="0" fontId="25" fillId="11" borderId="7" applyAlignment="1" pivotButton="0" quotePrefix="0" xfId="0">
      <alignment horizontal="center" vertical="center" wrapText="1"/>
    </xf>
    <xf numFmtId="0" fontId="25" fillId="0" borderId="7" applyAlignment="1" pivotButton="0" quotePrefix="0" xfId="0">
      <alignment vertical="center" wrapText="1"/>
    </xf>
    <xf numFmtId="0" fontId="25" fillId="3" borderId="7" applyAlignment="1" pivotButton="0" quotePrefix="0" xfId="0">
      <alignment vertical="center" wrapText="1"/>
    </xf>
    <xf numFmtId="166" fontId="31" fillId="3" borderId="7" applyAlignment="1" pivotButton="0" quotePrefix="0" xfId="0">
      <alignment vertical="center" wrapText="1"/>
    </xf>
    <xf numFmtId="0" fontId="31" fillId="3" borderId="7" applyAlignment="1" pivotButton="0" quotePrefix="0" xfId="0">
      <alignment vertical="center" wrapText="1"/>
    </xf>
    <xf numFmtId="165" fontId="25" fillId="3" borderId="13" applyAlignment="1" pivotButton="0" quotePrefix="0" xfId="0">
      <alignment vertical="center" wrapText="1"/>
    </xf>
    <xf numFmtId="165" fontId="13" fillId="7" borderId="7" applyAlignment="1" applyProtection="1" pivotButton="0" quotePrefix="0" xfId="13">
      <alignment horizontal="right" vertical="center" wrapText="1"/>
      <protection locked="0" hidden="0"/>
    </xf>
    <xf numFmtId="165" fontId="13" fillId="4" borderId="7" applyAlignment="1" applyProtection="1" pivotButton="0" quotePrefix="0" xfId="13">
      <alignment horizontal="right" vertical="center" wrapText="1"/>
      <protection locked="0" hidden="0"/>
    </xf>
    <xf numFmtId="0" fontId="25" fillId="3" borderId="13" applyAlignment="1" pivotButton="0" quotePrefix="0" xfId="0">
      <alignment vertical="center" wrapText="1"/>
    </xf>
    <xf numFmtId="165" fontId="25" fillId="3" borderId="11" applyAlignment="1" pivotButton="0" quotePrefix="0" xfId="0">
      <alignment vertical="center" wrapText="1"/>
    </xf>
    <xf numFmtId="0" fontId="25" fillId="3" borderId="11" applyAlignment="1" pivotButton="0" quotePrefix="0" xfId="0">
      <alignment vertical="center" wrapText="1"/>
    </xf>
    <xf numFmtId="165" fontId="13" fillId="19" borderId="7" applyAlignment="1" applyProtection="1" pivotButton="0" quotePrefix="0" xfId="22">
      <alignment vertical="center" wrapText="1"/>
      <protection locked="0" hidden="0"/>
    </xf>
    <xf numFmtId="165" fontId="13" fillId="4" borderId="7" applyAlignment="1" applyProtection="1" pivotButton="0" quotePrefix="0" xfId="22">
      <alignment vertical="center" wrapText="1"/>
      <protection locked="0" hidden="0"/>
    </xf>
    <xf numFmtId="0" fontId="13" fillId="4" borderId="7" applyAlignment="1" applyProtection="1" pivotButton="0" quotePrefix="0" xfId="22">
      <alignment horizontal="left" vertical="center" wrapText="1"/>
      <protection locked="0" hidden="0"/>
    </xf>
    <xf numFmtId="0" fontId="13" fillId="5" borderId="7" applyAlignment="1" pivotButton="0" quotePrefix="0" xfId="23">
      <alignment horizontal="center" vertical="center"/>
    </xf>
    <xf numFmtId="0" fontId="13" fillId="0" borderId="7" applyAlignment="1" pivotButton="0" quotePrefix="0" xfId="0">
      <alignment horizontal="left" vertical="center" wrapText="1"/>
    </xf>
    <xf numFmtId="165" fontId="25" fillId="3" borderId="49" applyAlignment="1" pivotButton="0" quotePrefix="0" xfId="0">
      <alignment vertical="center" wrapText="1"/>
    </xf>
    <xf numFmtId="166" fontId="25" fillId="3" borderId="49" applyAlignment="1" pivotButton="0" quotePrefix="0" xfId="0">
      <alignment vertical="center" wrapText="1"/>
    </xf>
    <xf numFmtId="166" fontId="25" fillId="3" borderId="11" applyAlignment="1" pivotButton="0" quotePrefix="0" xfId="0">
      <alignment vertical="center" wrapText="1"/>
    </xf>
    <xf numFmtId="166" fontId="25" fillId="3" borderId="13" applyAlignment="1" pivotButton="0" quotePrefix="0" xfId="0">
      <alignment vertical="center" wrapText="1"/>
    </xf>
    <xf numFmtId="0" fontId="25" fillId="0" borderId="7" applyAlignment="1" pivotButton="0" quotePrefix="0" xfId="0">
      <alignment horizontal="left" vertical="center" wrapText="1"/>
    </xf>
    <xf numFmtId="0" fontId="25" fillId="11" borderId="49" applyAlignment="1" pivotButton="0" quotePrefix="0" xfId="0">
      <alignment vertical="center" wrapText="1"/>
    </xf>
    <xf numFmtId="165" fontId="13" fillId="4" borderId="49" applyAlignment="1" applyProtection="1" pivotButton="0" quotePrefix="0" xfId="13">
      <alignment horizontal="right" vertical="center" wrapText="1"/>
      <protection locked="0" hidden="0"/>
    </xf>
    <xf numFmtId="0" fontId="13" fillId="4" borderId="49" applyAlignment="1" applyProtection="1" pivotButton="0" quotePrefix="0" xfId="22">
      <alignment horizontal="left" vertical="center" wrapText="1"/>
      <protection locked="0" hidden="0"/>
    </xf>
    <xf numFmtId="0" fontId="13" fillId="11" borderId="10" applyAlignment="1" pivotButton="0" quotePrefix="0" xfId="0">
      <alignment vertical="center" wrapText="1"/>
    </xf>
    <xf numFmtId="165" fontId="13" fillId="0" borderId="10" applyAlignment="1" pivotButton="0" quotePrefix="0" xfId="0">
      <alignment vertical="center" wrapText="1"/>
    </xf>
    <xf numFmtId="165" fontId="25" fillId="0" borderId="10" applyAlignment="1" pivotButton="0" quotePrefix="0" xfId="0">
      <alignment vertical="center" wrapText="1"/>
    </xf>
    <xf numFmtId="0" fontId="25" fillId="0" borderId="10" applyAlignment="1" pivotButton="0" quotePrefix="0" xfId="0">
      <alignment horizontal="left" vertical="center" wrapText="1"/>
    </xf>
    <xf numFmtId="0" fontId="25" fillId="3" borderId="0" applyAlignment="1" pivotButton="0" quotePrefix="0" xfId="0">
      <alignment vertical="center" wrapText="1"/>
    </xf>
    <xf numFmtId="165" fontId="31" fillId="3" borderId="0" applyAlignment="1" pivotButton="0" quotePrefix="0" xfId="0">
      <alignment vertical="center" wrapText="1"/>
    </xf>
    <xf numFmtId="0" fontId="31" fillId="3" borderId="0" applyAlignment="1" pivotButton="0" quotePrefix="0" xfId="0">
      <alignment vertical="center" wrapText="1"/>
    </xf>
    <xf numFmtId="0" fontId="25" fillId="11" borderId="7" applyAlignment="1" pivotButton="0" quotePrefix="0" xfId="0">
      <alignment vertical="center" wrapText="1"/>
    </xf>
    <xf numFmtId="0" fontId="13" fillId="11" borderId="7" applyAlignment="1" pivotButton="0" quotePrefix="0" xfId="0">
      <alignment horizontal="left" vertical="center" wrapText="1"/>
    </xf>
    <xf numFmtId="0" fontId="25" fillId="11" borderId="7" applyAlignment="1" pivotButton="0" quotePrefix="0" xfId="0">
      <alignment horizontal="left" vertical="center" wrapText="1"/>
    </xf>
    <xf numFmtId="165" fontId="13" fillId="0" borderId="7" applyAlignment="1" pivotButton="0" quotePrefix="0" xfId="0">
      <alignment vertical="center" wrapText="1"/>
    </xf>
    <xf numFmtId="165" fontId="25" fillId="0" borderId="7" applyAlignment="1" pivotButton="0" quotePrefix="0" xfId="0">
      <alignment vertical="center" wrapText="1"/>
    </xf>
    <xf numFmtId="0" fontId="13" fillId="4" borderId="7" applyAlignment="1" applyProtection="1" pivotButton="0" quotePrefix="0" xfId="13">
      <alignment horizontal="right" vertical="center" wrapText="1"/>
      <protection locked="0" hidden="0"/>
    </xf>
    <xf numFmtId="0" fontId="13" fillId="4" borderId="7" applyAlignment="1" applyProtection="1" pivotButton="0" quotePrefix="0" xfId="22">
      <alignment vertical="center" wrapText="1"/>
      <protection locked="0" hidden="0"/>
    </xf>
    <xf numFmtId="9" fontId="13" fillId="19" borderId="7" applyAlignment="1" applyProtection="1" pivotButton="0" quotePrefix="0" xfId="22">
      <alignment vertical="center" wrapText="1"/>
      <protection locked="0" hidden="0"/>
    </xf>
    <xf numFmtId="166" fontId="13" fillId="19" borderId="7" applyAlignment="1" applyProtection="1" pivotButton="0" quotePrefix="0" xfId="22">
      <alignment vertical="center" wrapText="1"/>
      <protection locked="0" hidden="0"/>
    </xf>
    <xf numFmtId="0" fontId="25" fillId="12" borderId="0" pivotButton="0" quotePrefix="0" xfId="23"/>
    <xf numFmtId="0" fontId="13" fillId="12" borderId="0" pivotButton="0" quotePrefix="0" xfId="23"/>
    <xf numFmtId="0" fontId="13" fillId="0" borderId="7" applyAlignment="1" pivotButton="0" quotePrefix="0" xfId="0">
      <alignment vertical="top"/>
    </xf>
    <xf numFmtId="0" fontId="13" fillId="0" borderId="9" pivotButton="0" quotePrefix="0" xfId="23"/>
    <xf numFmtId="0" fontId="13" fillId="5" borderId="7" applyAlignment="1" pivotButton="0" quotePrefix="0" xfId="0">
      <alignment horizontal="left"/>
    </xf>
    <xf numFmtId="0" fontId="13" fillId="3" borderId="7" applyAlignment="1" pivotButton="0" quotePrefix="0" xfId="0">
      <alignment horizontal="left"/>
    </xf>
    <xf numFmtId="0" fontId="13" fillId="3" borderId="0" pivotButton="0" quotePrefix="0" xfId="23"/>
    <xf numFmtId="0" fontId="13" fillId="0" borderId="7" applyAlignment="1" pivotButton="0" quotePrefix="0" xfId="23">
      <alignment horizontal="center"/>
    </xf>
    <xf numFmtId="0" fontId="13" fillId="0" borderId="0" applyAlignment="1" pivotButton="0" quotePrefix="0" xfId="24">
      <alignment wrapText="1"/>
    </xf>
    <xf numFmtId="0" fontId="25" fillId="0" borderId="50" applyAlignment="1" pivotButton="0" quotePrefix="0" xfId="24">
      <alignment horizontal="centerContinuous" vertical="center" wrapText="1"/>
    </xf>
    <xf numFmtId="0" fontId="25" fillId="0" borderId="6" applyAlignment="1" pivotButton="0" quotePrefix="0" xfId="24">
      <alignment horizontal="centerContinuous" vertical="center" wrapText="1"/>
    </xf>
    <xf numFmtId="0" fontId="25" fillId="0" borderId="12" applyAlignment="1" pivotButton="0" quotePrefix="0" xfId="24">
      <alignment horizontal="centerContinuous" vertical="center" wrapText="1"/>
    </xf>
    <xf numFmtId="0" fontId="25" fillId="0" borderId="7" applyAlignment="1" pivotButton="0" quotePrefix="0" xfId="17">
      <alignment horizontal="centerContinuous" vertical="center" wrapText="1"/>
    </xf>
    <xf numFmtId="0" fontId="32" fillId="0" borderId="0" pivotButton="0" quotePrefix="0" xfId="23"/>
    <xf numFmtId="0" fontId="25" fillId="0" borderId="8" applyAlignment="1" pivotButton="0" quotePrefix="0" xfId="17">
      <alignment horizontal="center" vertical="center" wrapText="1"/>
    </xf>
    <xf numFmtId="38" fontId="25" fillId="9" borderId="7" applyAlignment="1" applyProtection="1" pivotButton="0" quotePrefix="0" xfId="22">
      <alignment horizontal="center" vertical="center" wrapText="1"/>
      <protection locked="0" hidden="0"/>
    </xf>
    <xf numFmtId="0" fontId="25" fillId="0" borderId="8" applyAlignment="1" pivotButton="0" quotePrefix="1" xfId="17">
      <alignment vertical="center"/>
    </xf>
    <xf numFmtId="38" fontId="13" fillId="4" borderId="7" applyAlignment="1" applyProtection="1" pivotButton="0" quotePrefix="0" xfId="22">
      <alignment horizontal="center" vertical="center" wrapText="1"/>
      <protection locked="0" hidden="0"/>
    </xf>
    <xf numFmtId="0" fontId="25" fillId="0" borderId="50" applyAlignment="1" pivotButton="0" quotePrefix="0" xfId="23">
      <alignment vertical="center"/>
    </xf>
    <xf numFmtId="9" fontId="13" fillId="19" borderId="7" applyAlignment="1" applyProtection="1" pivotButton="0" quotePrefix="0" xfId="22">
      <alignment horizontal="center" vertical="center" wrapText="1"/>
      <protection locked="0" hidden="0"/>
    </xf>
    <xf numFmtId="38" fontId="13" fillId="19" borderId="7" applyAlignment="1" applyProtection="1" pivotButton="0" quotePrefix="0" xfId="22">
      <alignment horizontal="center" vertical="center" wrapText="1"/>
      <protection locked="0" hidden="0"/>
    </xf>
    <xf numFmtId="0" fontId="25" fillId="0" borderId="7" applyAlignment="1" pivotButton="0" quotePrefix="0" xfId="23">
      <alignment horizontal="left" vertical="center" indent="1"/>
    </xf>
    <xf numFmtId="0" fontId="13" fillId="0" borderId="8" applyAlignment="1" pivotButton="0" quotePrefix="0" xfId="23">
      <alignment horizontal="left" vertical="center" indent="1"/>
    </xf>
    <xf numFmtId="0" fontId="13" fillId="0" borderId="9" applyAlignment="1" pivotButton="0" quotePrefix="0" xfId="23">
      <alignment horizontal="left" vertical="center" indent="1"/>
    </xf>
    <xf numFmtId="0" fontId="13" fillId="0" borderId="7" applyAlignment="1" pivotButton="0" quotePrefix="0" xfId="23">
      <alignment horizontal="left" vertical="center" indent="1"/>
    </xf>
    <xf numFmtId="0" fontId="13" fillId="0" borderId="8" applyAlignment="1" pivotButton="0" quotePrefix="0" xfId="23">
      <alignment horizontal="left" vertical="center" wrapText="1"/>
    </xf>
    <xf numFmtId="0" fontId="13" fillId="0" borderId="14" applyAlignment="1" pivotButton="0" quotePrefix="0" xfId="23">
      <alignment horizontal="left" vertical="center" indent="1"/>
    </xf>
    <xf numFmtId="0" fontId="25" fillId="0" borderId="8" applyAlignment="1" pivotButton="0" quotePrefix="0" xfId="23">
      <alignment horizontal="left" vertical="center" indent="1"/>
    </xf>
    <xf numFmtId="0" fontId="25" fillId="0" borderId="7" applyAlignment="1" pivotButton="0" quotePrefix="0" xfId="23">
      <alignment vertical="center"/>
    </xf>
    <xf numFmtId="0" fontId="25" fillId="0" borderId="8" applyAlignment="1" pivotButton="0" quotePrefix="0" xfId="23">
      <alignment vertical="center"/>
    </xf>
    <xf numFmtId="0" fontId="25" fillId="0" borderId="9" applyAlignment="1" pivotButton="0" quotePrefix="0" xfId="23">
      <alignment vertical="center"/>
    </xf>
    <xf numFmtId="0" fontId="13" fillId="0" borderId="7" applyAlignment="1" pivotButton="0" quotePrefix="0" xfId="23">
      <alignment horizontal="left" vertical="center" indent="2"/>
    </xf>
    <xf numFmtId="0" fontId="13" fillId="0" borderId="8" applyAlignment="1" pivotButton="0" quotePrefix="0" xfId="23">
      <alignment horizontal="left" vertical="center" indent="2"/>
    </xf>
    <xf numFmtId="0" fontId="13" fillId="0" borderId="9" applyAlignment="1" pivotButton="0" quotePrefix="0" xfId="23">
      <alignment horizontal="left" vertical="center" indent="2"/>
    </xf>
    <xf numFmtId="0" fontId="13" fillId="0" borderId="8" pivotButton="0" quotePrefix="0" xfId="23"/>
    <xf numFmtId="0" fontId="13" fillId="0" borderId="14" pivotButton="0" quotePrefix="0" xfId="23"/>
    <xf numFmtId="0" fontId="13" fillId="0" borderId="7" pivotButton="0" quotePrefix="0" xfId="23"/>
    <xf numFmtId="38" fontId="13" fillId="5" borderId="7" applyAlignment="1" pivotButton="0" quotePrefix="0" xfId="23">
      <alignment vertical="center"/>
    </xf>
    <xf numFmtId="0" fontId="13" fillId="5" borderId="7" applyAlignment="1" pivotButton="0" quotePrefix="0" xfId="23">
      <alignment horizontal="left"/>
    </xf>
    <xf numFmtId="0" fontId="20" fillId="20" borderId="0" pivotButton="0" quotePrefix="0" xfId="0"/>
    <xf numFmtId="0" fontId="20" fillId="5" borderId="7" applyAlignment="1" pivotButton="0" quotePrefix="0" xfId="0">
      <alignment horizontal="left"/>
    </xf>
    <xf numFmtId="0" fontId="20" fillId="3" borderId="7" applyAlignment="1" pivotButton="0" quotePrefix="0" xfId="0">
      <alignment horizontal="left"/>
    </xf>
    <xf numFmtId="0" fontId="20" fillId="0" borderId="6" applyAlignment="1" pivotButton="0" quotePrefix="0" xfId="0">
      <alignment vertical="top" wrapText="1"/>
    </xf>
    <xf numFmtId="0" fontId="20" fillId="0" borderId="7" applyAlignment="1" pivotButton="0" quotePrefix="0" xfId="0">
      <alignment horizontal="center"/>
    </xf>
    <xf numFmtId="0" fontId="24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vertical="center"/>
    </xf>
    <xf numFmtId="0" fontId="36" fillId="0" borderId="7" applyAlignment="1" pivotButton="0" quotePrefix="0" xfId="0">
      <alignment horizontal="left" vertical="center" indent="1"/>
    </xf>
    <xf numFmtId="0" fontId="25" fillId="0" borderId="7" applyAlignment="1" pivotButton="0" quotePrefix="0" xfId="0">
      <alignment vertical="center"/>
    </xf>
    <xf numFmtId="0" fontId="24" fillId="0" borderId="14" applyAlignment="1" pivotButton="0" quotePrefix="0" xfId="0">
      <alignment vertical="center"/>
    </xf>
    <xf numFmtId="38" fontId="24" fillId="0" borderId="14" applyAlignment="1" pivotButton="0" quotePrefix="0" xfId="0">
      <alignment vertical="center"/>
    </xf>
    <xf numFmtId="0" fontId="20" fillId="0" borderId="9" applyAlignment="1" pivotButton="0" quotePrefix="0" xfId="0">
      <alignment vertical="center"/>
    </xf>
    <xf numFmtId="38" fontId="20" fillId="5" borderId="7" applyAlignment="1" pivotButton="0" quotePrefix="0" xfId="0">
      <alignment horizontal="center" vertical="center"/>
    </xf>
    <xf numFmtId="0" fontId="20" fillId="3" borderId="7" applyAlignment="1" pivotButton="0" quotePrefix="0" xfId="0">
      <alignment vertical="center"/>
    </xf>
    <xf numFmtId="0" fontId="24" fillId="12" borderId="0" pivotButton="0" quotePrefix="0" xfId="0"/>
    <xf numFmtId="0" fontId="29" fillId="12" borderId="0" applyAlignment="1" pivotButton="0" quotePrefix="0" xfId="0">
      <alignment horizontal="center"/>
    </xf>
    <xf numFmtId="0" fontId="20" fillId="12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25" fillId="0" borderId="7" pivotButton="0" quotePrefix="0" xfId="0"/>
    <xf numFmtId="0" fontId="13" fillId="0" borderId="7" applyAlignment="1" pivotButton="0" quotePrefix="0" xfId="0">
      <alignment horizontal="left" indent="2"/>
    </xf>
    <xf numFmtId="0" fontId="20" fillId="0" borderId="7" applyAlignment="1" pivotButton="0" quotePrefix="0" xfId="0">
      <alignment horizontal="left" indent="2"/>
    </xf>
    <xf numFmtId="0" fontId="29" fillId="0" borderId="7" applyAlignment="1" pivotButton="0" quotePrefix="0" xfId="0">
      <alignment horizontal="center" vertical="center"/>
    </xf>
    <xf numFmtId="0" fontId="25" fillId="0" borderId="7" applyAlignment="1" pivotButton="0" quotePrefix="0" xfId="0">
      <alignment wrapText="1"/>
    </xf>
    <xf numFmtId="167" fontId="13" fillId="7" borderId="7" applyAlignment="1" applyProtection="1" pivotButton="0" quotePrefix="0" xfId="22">
      <alignment wrapText="1"/>
      <protection locked="0" hidden="0"/>
    </xf>
    <xf numFmtId="0" fontId="24" fillId="0" borderId="7" pivotButton="0" quotePrefix="0" xfId="0"/>
    <xf numFmtId="0" fontId="13" fillId="0" borderId="7" pivotButton="0" quotePrefix="0" xfId="0"/>
    <xf numFmtId="0" fontId="13" fillId="0" borderId="7" applyAlignment="1" pivotButton="0" quotePrefix="0" xfId="23">
      <alignment vertical="center"/>
    </xf>
    <xf numFmtId="38" fontId="13" fillId="0" borderId="7" applyAlignment="1" pivotButton="0" quotePrefix="0" xfId="23">
      <alignment vertical="center"/>
    </xf>
    <xf numFmtId="0" fontId="25" fillId="0" borderId="49" applyAlignment="1" pivotButton="0" quotePrefix="0" xfId="0">
      <alignment horizontal="center" vertical="center" wrapText="1"/>
    </xf>
    <xf numFmtId="0" fontId="37" fillId="0" borderId="7" applyAlignment="1" pivotButton="0" quotePrefix="0" xfId="0">
      <alignment horizontal="left" vertical="center"/>
    </xf>
    <xf numFmtId="0" fontId="20" fillId="0" borderId="7" applyAlignment="1" pivotButton="0" quotePrefix="0" xfId="0">
      <alignment horizontal="left" vertical="center" indent="2"/>
    </xf>
    <xf numFmtId="0" fontId="13" fillId="0" borderId="7" applyAlignment="1" pivotButton="0" quotePrefix="0" xfId="0">
      <alignment horizontal="left" vertical="center" indent="2"/>
    </xf>
    <xf numFmtId="0" fontId="24" fillId="3" borderId="0" pivotButton="0" quotePrefix="0" xfId="0"/>
    <xf numFmtId="0" fontId="20" fillId="3" borderId="0" applyAlignment="1" pivotButton="0" quotePrefix="0" xfId="0">
      <alignment horizontal="center" vertical="center" wrapText="1"/>
    </xf>
    <xf numFmtId="0" fontId="20" fillId="0" borderId="0" applyAlignment="1" pivotButton="0" quotePrefix="1" xfId="0">
      <alignment horizontal="right"/>
    </xf>
    <xf numFmtId="0" fontId="20" fillId="0" borderId="49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169" fontId="34" fillId="9" borderId="7" applyAlignment="1" applyProtection="1" pivotButton="0" quotePrefix="0" xfId="22">
      <alignment horizontal="center" vertical="center" wrapText="1"/>
      <protection locked="0" hidden="0"/>
    </xf>
    <xf numFmtId="0" fontId="20" fillId="0" borderId="0" pivotButton="0" quotePrefix="1" xfId="0"/>
    <xf numFmtId="0" fontId="13" fillId="0" borderId="7" applyAlignment="1" pivotButton="0" quotePrefix="0" xfId="0">
      <alignment horizontal="left" vertical="center" wrapText="1" indent="4"/>
    </xf>
    <xf numFmtId="0" fontId="13" fillId="0" borderId="7" applyAlignment="1" pivotButton="0" quotePrefix="0" xfId="0">
      <alignment horizontal="left" wrapText="1" indent="4"/>
    </xf>
    <xf numFmtId="0" fontId="13" fillId="0" borderId="7" applyAlignment="1" pivotButton="0" quotePrefix="0" xfId="0">
      <alignment horizontal="left" vertical="center" wrapText="1" indent="2"/>
    </xf>
    <xf numFmtId="0" fontId="13" fillId="0" borderId="7" applyAlignment="1" pivotButton="0" quotePrefix="0" xfId="0">
      <alignment horizontal="left" vertical="center" indent="4"/>
    </xf>
    <xf numFmtId="0" fontId="24" fillId="0" borderId="7" applyAlignment="1" pivotButton="0" quotePrefix="0" xfId="0">
      <alignment horizontal="left" vertical="center" indent="2"/>
    </xf>
    <xf numFmtId="0" fontId="13" fillId="0" borderId="7" applyAlignment="1" pivotButton="0" quotePrefix="0" xfId="0">
      <alignment horizontal="left" vertical="center" indent="6"/>
    </xf>
    <xf numFmtId="0" fontId="20" fillId="0" borderId="7" applyAlignment="1" pivotButton="0" quotePrefix="0" xfId="0">
      <alignment horizontal="left" vertical="center" indent="4"/>
    </xf>
    <xf numFmtId="0" fontId="31" fillId="21" borderId="0" pivotButton="0" quotePrefix="0" xfId="0"/>
    <xf numFmtId="0" fontId="40" fillId="21" borderId="0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/>
    </xf>
    <xf numFmtId="0" fontId="40" fillId="21" borderId="0" pivotButton="0" quotePrefix="0" xfId="0"/>
    <xf numFmtId="0" fontId="13" fillId="0" borderId="7" applyAlignment="1" pivotButton="0" quotePrefix="0" xfId="0">
      <alignment horizontal="center" vertical="top"/>
    </xf>
    <xf numFmtId="0" fontId="13" fillId="0" borderId="49" applyAlignment="1" pivotButton="0" quotePrefix="0" xfId="0">
      <alignment horizontal="center" vertical="top"/>
    </xf>
    <xf numFmtId="0" fontId="25" fillId="2" borderId="7" applyAlignment="1" pivotButton="0" quotePrefix="0" xfId="17">
      <alignment horizontal="center" vertical="center" wrapText="1"/>
    </xf>
    <xf numFmtId="0" fontId="25" fillId="2" borderId="8" applyAlignment="1" pivotButton="0" quotePrefix="0" xfId="17">
      <alignment horizontal="center" vertical="center" wrapText="1"/>
    </xf>
    <xf numFmtId="0" fontId="25" fillId="2" borderId="9" applyAlignment="1" pivotButton="0" quotePrefix="0" xfId="17">
      <alignment horizontal="center" vertical="center" wrapText="1"/>
    </xf>
    <xf numFmtId="0" fontId="13" fillId="4" borderId="11" applyAlignment="1" applyProtection="1" pivotButton="0" quotePrefix="0" xfId="22">
      <alignment vertical="center" wrapText="1"/>
      <protection locked="0" hidden="0"/>
    </xf>
    <xf numFmtId="0" fontId="13" fillId="19" borderId="7" applyAlignment="1" applyProtection="1" pivotButton="0" quotePrefix="0" xfId="22">
      <alignment vertical="center" wrapText="1"/>
      <protection locked="0" hidden="0"/>
    </xf>
    <xf numFmtId="172" fontId="13" fillId="19" borderId="11" applyAlignment="1" applyProtection="1" pivotButton="0" quotePrefix="0" xfId="22">
      <alignment vertical="center" wrapText="1"/>
      <protection locked="0" hidden="0"/>
    </xf>
    <xf numFmtId="172" fontId="13" fillId="19" borderId="7" applyAlignment="1" applyProtection="1" pivotButton="0" quotePrefix="0" xfId="22">
      <alignment vertical="center" wrapText="1"/>
      <protection locked="0" hidden="0"/>
    </xf>
    <xf numFmtId="0" fontId="13" fillId="3" borderId="0" pivotButton="0" quotePrefix="0" xfId="0"/>
    <xf numFmtId="0" fontId="42" fillId="0" borderId="0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3" fillId="0" borderId="7" applyAlignment="1" pivotButton="0" quotePrefix="0" xfId="0">
      <alignment horizontal="center" vertical="center"/>
    </xf>
    <xf numFmtId="0" fontId="38" fillId="0" borderId="0" applyAlignment="1" pivotButton="0" quotePrefix="0" xfId="0">
      <alignment horizontal="right" vertical="center" wrapText="1"/>
    </xf>
    <xf numFmtId="0" fontId="44" fillId="0" borderId="7" applyAlignment="1" pivotButton="0" quotePrefix="0" xfId="0">
      <alignment vertical="center" wrapText="1"/>
    </xf>
    <xf numFmtId="0" fontId="13" fillId="3" borderId="7" applyAlignment="1" pivotButton="0" quotePrefix="0" xfId="0">
      <alignment vertical="center" wrapText="1"/>
    </xf>
    <xf numFmtId="0" fontId="13" fillId="4" borderId="7" applyAlignment="1" applyProtection="1" pivotButton="0" quotePrefix="0" xfId="22">
      <alignment horizontal="center" vertical="center" wrapText="1"/>
      <protection locked="0" hidden="0"/>
    </xf>
    <xf numFmtId="165" fontId="13" fillId="7" borderId="7" applyAlignment="1" applyProtection="1" pivotButton="0" quotePrefix="0" xfId="22">
      <alignment horizontal="center" vertical="center" wrapText="1"/>
      <protection locked="0" hidden="0"/>
    </xf>
    <xf numFmtId="0" fontId="13" fillId="0" borderId="7" applyAlignment="1" pivotButton="0" quotePrefix="1" xfId="0">
      <alignment horizontal="left" vertical="center" wrapText="1" indent="2"/>
    </xf>
    <xf numFmtId="0" fontId="25" fillId="0" borderId="49" applyAlignment="1" pivotButton="0" quotePrefix="0" xfId="0">
      <alignment horizontal="center" vertical="center"/>
    </xf>
    <xf numFmtId="0" fontId="25" fillId="0" borderId="49" applyAlignment="1" pivotButton="0" quotePrefix="0" xfId="17">
      <alignment horizontal="center" vertical="center" wrapText="1"/>
    </xf>
    <xf numFmtId="169" fontId="13" fillId="7" borderId="7" applyAlignment="1" applyProtection="1" pivotButton="0" quotePrefix="0" xfId="22">
      <alignment wrapText="1"/>
      <protection locked="0" hidden="0"/>
    </xf>
    <xf numFmtId="169" fontId="13" fillId="7" borderId="7" applyAlignment="1" applyProtection="1" pivotButton="0" quotePrefix="0" xfId="22">
      <alignment vertical="center" wrapText="1"/>
      <protection locked="0" hidden="0"/>
    </xf>
    <xf numFmtId="38" fontId="20" fillId="5" borderId="52" applyAlignment="1" pivotButton="0" quotePrefix="0" xfId="0">
      <alignment horizontal="center" vertical="center"/>
    </xf>
    <xf numFmtId="169" fontId="20" fillId="3" borderId="0" pivotButton="0" quotePrefix="0" xfId="0"/>
    <xf numFmtId="0" fontId="20" fillId="0" borderId="49" applyAlignment="1" pivotButton="0" quotePrefix="0" xfId="0">
      <alignment horizontal="center"/>
    </xf>
    <xf numFmtId="169" fontId="13" fillId="4" borderId="7" applyAlignment="1" applyProtection="1" pivotButton="0" quotePrefix="0" xfId="22">
      <alignment horizontal="center" vertical="center" wrapText="1"/>
      <protection locked="0" hidden="0"/>
    </xf>
    <xf numFmtId="169" fontId="13" fillId="4" borderId="7" applyAlignment="1" applyProtection="1" pivotButton="0" quotePrefix="0" xfId="22">
      <alignment horizontal="center" wrapText="1"/>
      <protection locked="0" hidden="0"/>
    </xf>
    <xf numFmtId="0" fontId="13" fillId="4" borderId="7" applyAlignment="1" applyProtection="1" pivotButton="0" quotePrefix="0" xfId="22">
      <alignment wrapText="1"/>
      <protection locked="0" hidden="0"/>
    </xf>
    <xf numFmtId="169" fontId="13" fillId="4" borderId="7" applyAlignment="1" applyProtection="1" pivotButton="0" quotePrefix="0" xfId="22">
      <alignment wrapText="1"/>
      <protection locked="0" hidden="0"/>
    </xf>
    <xf numFmtId="0" fontId="13" fillId="0" borderId="7" applyAlignment="1" pivotButton="0" quotePrefix="0" xfId="0">
      <alignment horizontal="center"/>
    </xf>
    <xf numFmtId="0" fontId="25" fillId="0" borderId="7" applyAlignment="1" pivotButton="0" quotePrefix="0" xfId="17">
      <alignment horizontal="left" vertical="center" wrapText="1"/>
    </xf>
    <xf numFmtId="0" fontId="25" fillId="0" borderId="9" applyAlignment="1" pivotButton="0" quotePrefix="0" xfId="17">
      <alignment horizontal="center" vertical="center" wrapText="1"/>
    </xf>
    <xf numFmtId="0" fontId="20" fillId="0" borderId="0" applyAlignment="1" pivotButton="0" quotePrefix="0" xfId="0">
      <alignment horizontal="left"/>
    </xf>
    <xf numFmtId="0" fontId="25" fillId="0" borderId="11" applyAlignment="1" pivotButton="0" quotePrefix="0" xfId="0">
      <alignment horizontal="center" vertical="center" wrapText="1"/>
    </xf>
    <xf numFmtId="170" fontId="13" fillId="2" borderId="7" applyAlignment="1" pivotButton="0" quotePrefix="0" xfId="0">
      <alignment wrapText="1"/>
    </xf>
    <xf numFmtId="0" fontId="20" fillId="5" borderId="7" applyAlignment="1" pivotButton="0" quotePrefix="0" xfId="0">
      <alignment horizontal="center"/>
    </xf>
    <xf numFmtId="170" fontId="13" fillId="0" borderId="7" applyAlignment="1" pivotButton="0" quotePrefix="0" xfId="0">
      <alignment wrapText="1"/>
    </xf>
    <xf numFmtId="167" fontId="20" fillId="3" borderId="0" pivotButton="0" quotePrefix="0" xfId="0"/>
    <xf numFmtId="0" fontId="20" fillId="0" borderId="7" pivotButton="0" quotePrefix="0" xfId="0"/>
    <xf numFmtId="0" fontId="13" fillId="12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13" fillId="0" borderId="8" applyAlignment="1" pivotButton="0" quotePrefix="0" xfId="17">
      <alignment horizontal="center" vertical="center"/>
    </xf>
    <xf numFmtId="0" fontId="13" fillId="0" borderId="7" applyAlignment="1" pivotButton="0" quotePrefix="0" xfId="17">
      <alignment horizontal="center" vertical="center"/>
    </xf>
    <xf numFmtId="0" fontId="13" fillId="0" borderId="0" applyAlignment="1" pivotButton="0" quotePrefix="0" xfId="17">
      <alignment horizontal="right" vertical="center"/>
    </xf>
    <xf numFmtId="0" fontId="13" fillId="0" borderId="8" applyAlignment="1" pivotButton="0" quotePrefix="0" xfId="17">
      <alignment horizontal="left" vertical="center"/>
    </xf>
    <xf numFmtId="0" fontId="13" fillId="0" borderId="14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3" fillId="0" borderId="0" applyAlignment="1" pivotButton="0" quotePrefix="0" xfId="17">
      <alignment horizontal="left" vertical="center"/>
    </xf>
    <xf numFmtId="0" fontId="13" fillId="0" borderId="14" applyAlignment="1" pivotButton="0" quotePrefix="0" xfId="17">
      <alignment horizontal="left" vertical="center"/>
    </xf>
    <xf numFmtId="0" fontId="13" fillId="0" borderId="9" applyAlignment="1" pivotButton="0" quotePrefix="0" xfId="17">
      <alignment horizontal="left" vertical="center"/>
    </xf>
    <xf numFmtId="0" fontId="13" fillId="0" borderId="50" applyAlignment="1" pivotButton="0" quotePrefix="0" xfId="17">
      <alignment horizontal="left" vertical="center"/>
    </xf>
    <xf numFmtId="0" fontId="13" fillId="0" borderId="6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3" fillId="0" borderId="10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top"/>
    </xf>
    <xf numFmtId="0" fontId="13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center" vertical="center" wrapText="1"/>
    </xf>
    <xf numFmtId="169" fontId="13" fillId="4" borderId="7" applyAlignment="1" applyProtection="1" pivotButton="0" quotePrefix="0" xfId="26">
      <alignment vertical="center" wrapText="1"/>
      <protection locked="0" hidden="0"/>
    </xf>
    <xf numFmtId="165" fontId="13" fillId="7" borderId="7" applyAlignment="1" applyProtection="1" pivotButton="0" quotePrefix="0" xfId="26">
      <alignment vertical="center" wrapText="1"/>
      <protection locked="0" hidden="0"/>
    </xf>
    <xf numFmtId="0" fontId="13" fillId="3" borderId="0" applyAlignment="1" pivotButton="0" quotePrefix="0" xfId="0">
      <alignment wrapText="1"/>
    </xf>
    <xf numFmtId="0" fontId="25" fillId="0" borderId="14" applyAlignment="1" pivotButton="0" quotePrefix="0" xfId="0">
      <alignment horizontal="center" vertical="center" wrapText="1"/>
    </xf>
    <xf numFmtId="0" fontId="25" fillId="0" borderId="9" applyAlignment="1" pivotButton="0" quotePrefix="0" xfId="0">
      <alignment vertical="center"/>
    </xf>
    <xf numFmtId="14" fontId="13" fillId="0" borderId="0" applyAlignment="1" pivotButton="0" quotePrefix="0" xfId="0">
      <alignment vertical="center"/>
    </xf>
    <xf numFmtId="0" fontId="13" fillId="0" borderId="6" applyAlignment="1" pivotButton="0" quotePrefix="0" xfId="0">
      <alignment vertical="center" wrapText="1"/>
    </xf>
    <xf numFmtId="0" fontId="25" fillId="12" borderId="0" pivotButton="0" quotePrefix="0" xfId="27"/>
    <xf numFmtId="0" fontId="20" fillId="12" borderId="0" pivotButton="0" quotePrefix="0" xfId="27"/>
    <xf numFmtId="0" fontId="20" fillId="3" borderId="8" applyAlignment="1" pivotButton="0" quotePrefix="0" xfId="0">
      <alignment horizontal="left"/>
    </xf>
    <xf numFmtId="0" fontId="20" fillId="3" borderId="9" applyAlignment="1" pivotButton="0" quotePrefix="0" xfId="0">
      <alignment horizontal="left"/>
    </xf>
    <xf numFmtId="0" fontId="24" fillId="2" borderId="0" pivotButton="0" quotePrefix="0" xfId="27"/>
    <xf numFmtId="0" fontId="13" fillId="0" borderId="0" pivotButton="0" quotePrefix="0" xfId="25"/>
    <xf numFmtId="0" fontId="20" fillId="2" borderId="7" applyAlignment="1" pivotButton="0" quotePrefix="0" xfId="27">
      <alignment horizontal="center"/>
    </xf>
    <xf numFmtId="0" fontId="25" fillId="0" borderId="49" applyAlignment="1" pivotButton="0" quotePrefix="0" xfId="17">
      <alignment vertical="center" wrapText="1"/>
    </xf>
    <xf numFmtId="0" fontId="13" fillId="2" borderId="0" applyAlignment="1" pivotButton="0" quotePrefix="0" xfId="27">
      <alignment vertical="center"/>
    </xf>
    <xf numFmtId="0" fontId="25" fillId="0" borderId="49" applyAlignment="1" pivotButton="0" quotePrefix="0" xfId="17">
      <alignment vertical="center"/>
    </xf>
    <xf numFmtId="0" fontId="13" fillId="2" borderId="0" applyAlignment="1" pivotButton="0" quotePrefix="0" xfId="25">
      <alignment vertical="center"/>
    </xf>
    <xf numFmtId="0" fontId="13" fillId="0" borderId="13" applyAlignment="1" pivotButton="0" quotePrefix="0" xfId="17">
      <alignment horizontal="left" vertical="center" indent="1"/>
    </xf>
    <xf numFmtId="0" fontId="49" fillId="0" borderId="13" applyAlignment="1" pivotButton="0" quotePrefix="0" xfId="17">
      <alignment horizontal="left" vertical="center" indent="2"/>
    </xf>
    <xf numFmtId="0" fontId="13" fillId="0" borderId="13" applyAlignment="1" pivotButton="0" quotePrefix="1" xfId="17">
      <alignment horizontal="left" vertical="center" indent="1"/>
    </xf>
    <xf numFmtId="0" fontId="13" fillId="0" borderId="11" applyAlignment="1" pivotButton="0" quotePrefix="1" xfId="17">
      <alignment horizontal="left" vertical="center" indent="1"/>
    </xf>
    <xf numFmtId="0" fontId="20" fillId="2" borderId="0" applyAlignment="1" pivotButton="0" quotePrefix="0" xfId="0">
      <alignment vertical="center"/>
    </xf>
    <xf numFmtId="0" fontId="25" fillId="0" borderId="7" applyAlignment="1" pivotButton="0" quotePrefix="0" xfId="27">
      <alignment horizontal="center" vertical="center" wrapText="1"/>
    </xf>
    <xf numFmtId="0" fontId="25" fillId="0" borderId="7" applyAlignment="1" pivotButton="0" quotePrefix="0" xfId="25">
      <alignment horizontal="center" vertical="center" wrapText="1"/>
    </xf>
    <xf numFmtId="0" fontId="25" fillId="0" borderId="49" applyAlignment="1" pivotButton="0" quotePrefix="0" xfId="17">
      <alignment wrapText="1"/>
    </xf>
    <xf numFmtId="0" fontId="25" fillId="0" borderId="49" pivotButton="0" quotePrefix="0" xfId="17"/>
    <xf numFmtId="0" fontId="13" fillId="0" borderId="13" applyAlignment="1" pivotButton="0" quotePrefix="0" xfId="17">
      <alignment horizontal="left" indent="1"/>
    </xf>
    <xf numFmtId="0" fontId="49" fillId="0" borderId="13" applyAlignment="1" pivotButton="0" quotePrefix="0" xfId="17">
      <alignment horizontal="left" indent="2"/>
    </xf>
    <xf numFmtId="0" fontId="13" fillId="0" borderId="13" applyAlignment="1" pivotButton="0" quotePrefix="1" xfId="17">
      <alignment horizontal="left" indent="1"/>
    </xf>
    <xf numFmtId="0" fontId="13" fillId="0" borderId="11" applyAlignment="1" pivotButton="0" quotePrefix="1" xfId="17">
      <alignment horizontal="left" indent="1"/>
    </xf>
    <xf numFmtId="0" fontId="20" fillId="2" borderId="49" pivotButton="0" quotePrefix="0" xfId="27"/>
    <xf numFmtId="0" fontId="20" fillId="2" borderId="7" pivotButton="0" quotePrefix="0" xfId="27"/>
    <xf numFmtId="0" fontId="20" fillId="0" borderId="0" applyAlignment="1" pivotButton="0" quotePrefix="0" xfId="0">
      <alignment vertical="top" wrapText="1"/>
    </xf>
    <xf numFmtId="0" fontId="20" fillId="0" borderId="7" applyAlignment="1" pivotButton="0" quotePrefix="0" xfId="0">
      <alignment horizontal="center" vertical="top" wrapText="1"/>
    </xf>
    <xf numFmtId="0" fontId="13" fillId="0" borderId="7" applyAlignment="1" pivotButton="0" quotePrefix="0" xfId="0">
      <alignment horizontal="left" vertical="center" indent="1"/>
    </xf>
    <xf numFmtId="0" fontId="25" fillId="2" borderId="7" applyAlignment="1" pivotButton="0" quotePrefix="0" xfId="0">
      <alignment vertical="center" wrapText="1"/>
    </xf>
    <xf numFmtId="0" fontId="25" fillId="0" borderId="7" applyAlignment="1" pivotButton="0" quotePrefix="0" xfId="17">
      <alignment vertical="center" wrapText="1"/>
    </xf>
    <xf numFmtId="0" fontId="25" fillId="3" borderId="7" applyAlignment="1" pivotButton="0" quotePrefix="0" xfId="17">
      <alignment vertical="center" wrapText="1"/>
    </xf>
    <xf numFmtId="0" fontId="32" fillId="0" borderId="0" pivotButton="0" quotePrefix="0" xfId="0"/>
    <xf numFmtId="171" fontId="20" fillId="5" borderId="7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0" fontId="20" fillId="0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24" fillId="2" borderId="0" pivotButton="0" quotePrefix="0" xfId="0"/>
    <xf numFmtId="0" fontId="25" fillId="2" borderId="0" applyAlignment="1" pivotButton="0" quotePrefix="0" xfId="17">
      <alignment horizontal="center" vertical="center" wrapText="1"/>
    </xf>
    <xf numFmtId="0" fontId="25" fillId="2" borderId="0" applyAlignment="1" pivotButton="0" quotePrefix="0" xfId="17">
      <alignment vertical="center" wrapText="1"/>
    </xf>
    <xf numFmtId="0" fontId="13" fillId="2" borderId="7" applyAlignment="1" pivotButton="0" quotePrefix="0" xfId="17">
      <alignment horizontal="left" vertical="center" indent="2"/>
    </xf>
    <xf numFmtId="165" fontId="13" fillId="5" borderId="7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25" fillId="2" borderId="7" applyAlignment="1" pivotButton="0" quotePrefix="0" xfId="17">
      <alignment vertical="center" wrapText="1"/>
    </xf>
    <xf numFmtId="165" fontId="13" fillId="5" borderId="7" applyAlignment="1" pivotButton="0" quotePrefix="0" xfId="17">
      <alignment horizontal="left" vertical="center"/>
    </xf>
    <xf numFmtId="0" fontId="51" fillId="2" borderId="0" applyAlignment="1" pivotButton="0" quotePrefix="1" xfId="24">
      <alignment vertical="top" wrapText="1"/>
    </xf>
    <xf numFmtId="0" fontId="51" fillId="2" borderId="0" applyAlignment="1" pivotButton="0" quotePrefix="0" xfId="17">
      <alignment vertical="top"/>
    </xf>
    <xf numFmtId="0" fontId="51" fillId="2" borderId="0" pivotButton="0" quotePrefix="0" xfId="0"/>
    <xf numFmtId="0" fontId="25" fillId="12" borderId="0" applyAlignment="1" pivotButton="0" quotePrefix="0" xfId="0">
      <alignment wrapText="1"/>
    </xf>
    <xf numFmtId="0" fontId="25" fillId="2" borderId="0" applyAlignment="1" pivotButton="0" quotePrefix="0" xfId="17">
      <alignment horizontal="center" vertical="center" wrapText="1"/>
    </xf>
    <xf numFmtId="0" fontId="25" fillId="2" borderId="0" pivotButton="0" quotePrefix="0" xfId="17"/>
    <xf numFmtId="0" fontId="25" fillId="2" borderId="0" pivotButton="0" quotePrefix="0" xfId="17"/>
    <xf numFmtId="0" fontId="20" fillId="3" borderId="0" applyAlignment="1" pivotButton="0" quotePrefix="0" xfId="0">
      <alignment vertical="center"/>
    </xf>
    <xf numFmtId="0" fontId="20" fillId="0" borderId="7" applyAlignment="1" pivotButton="0" quotePrefix="0" xfId="0">
      <alignment horizontal="center" vertical="center"/>
    </xf>
    <xf numFmtId="0" fontId="31" fillId="21" borderId="7" applyAlignment="1" pivotButton="0" quotePrefix="0" xfId="0">
      <alignment vertical="center"/>
    </xf>
    <xf numFmtId="0" fontId="20" fillId="21" borderId="7" applyAlignment="1" pivotButton="0" quotePrefix="0" xfId="0">
      <alignment vertical="center"/>
    </xf>
    <xf numFmtId="165" fontId="20" fillId="5" borderId="7" applyAlignment="1" pivotButton="0" quotePrefix="0" xfId="0">
      <alignment vertical="center"/>
    </xf>
    <xf numFmtId="0" fontId="13" fillId="0" borderId="7" applyAlignment="1" pivotButton="0" quotePrefix="0" xfId="0">
      <alignment horizontal="left" vertical="center" wrapText="1" indent="1"/>
    </xf>
    <xf numFmtId="0" fontId="20" fillId="18" borderId="7" applyAlignment="1" pivotButton="0" quotePrefix="0" xfId="0">
      <alignment horizontal="center" vertical="center" wrapText="1"/>
    </xf>
    <xf numFmtId="165" fontId="36" fillId="5" borderId="7" applyAlignment="1" pivotButton="0" quotePrefix="0" xfId="0">
      <alignment vertical="center"/>
    </xf>
    <xf numFmtId="187" fontId="20" fillId="5" borderId="7" applyAlignment="1" pivotButton="0" quotePrefix="0" xfId="0">
      <alignment vertical="center"/>
    </xf>
    <xf numFmtId="0" fontId="20" fillId="18" borderId="7" applyAlignment="1" pivotButton="0" quotePrefix="0" xfId="0">
      <alignment horizontal="center" vertical="center"/>
    </xf>
    <xf numFmtId="0" fontId="24" fillId="18" borderId="7" applyAlignment="1" pivotButton="0" quotePrefix="0" xfId="0">
      <alignment vertical="center"/>
    </xf>
    <xf numFmtId="0" fontId="20" fillId="18" borderId="7" applyAlignment="1" pivotButton="0" quotePrefix="0" xfId="0">
      <alignment vertical="center"/>
    </xf>
    <xf numFmtId="0" fontId="13" fillId="0" borderId="7" applyAlignment="1" pivotButton="0" quotePrefix="0" xfId="0">
      <alignment wrapText="1"/>
    </xf>
    <xf numFmtId="0" fontId="20" fillId="18" borderId="7" applyAlignment="1" pivotButton="0" quotePrefix="0" xfId="0">
      <alignment vertical="center" wrapText="1"/>
    </xf>
    <xf numFmtId="0" fontId="13" fillId="2" borderId="0" applyAlignment="1" pivotButton="0" quotePrefix="0" xfId="0">
      <alignment vertical="top" wrapText="1"/>
    </xf>
    <xf numFmtId="0" fontId="25" fillId="2" borderId="0" applyAlignment="1" pivotButton="0" quotePrefix="0" xfId="0">
      <alignment horizontal="center" vertical="center" wrapText="1"/>
    </xf>
    <xf numFmtId="0" fontId="13" fillId="2" borderId="7" applyAlignment="1" pivotButton="0" quotePrefix="0" xfId="17">
      <alignment horizontal="center" vertical="center" wrapText="1"/>
    </xf>
    <xf numFmtId="0" fontId="25" fillId="2" borderId="7" applyAlignment="1" pivotButton="0" quotePrefix="0" xfId="0">
      <alignment horizontal="left" vertical="center"/>
    </xf>
    <xf numFmtId="188" fontId="13" fillId="2" borderId="0" applyAlignment="1" pivotButton="0" quotePrefix="0" xfId="0">
      <alignment horizontal="right" vertical="center"/>
    </xf>
    <xf numFmtId="0" fontId="13" fillId="2" borderId="0" applyAlignment="1" pivotButton="0" quotePrefix="0" xfId="17">
      <alignment vertical="center" wrapText="1"/>
    </xf>
    <xf numFmtId="0" fontId="25" fillId="2" borderId="7" applyAlignment="1" pivotButton="0" quotePrefix="0" xfId="17">
      <alignment horizontal="left" vertical="center" indent="1"/>
    </xf>
    <xf numFmtId="0" fontId="13" fillId="0" borderId="7" applyAlignment="1" pivotButton="0" quotePrefix="0" xfId="17">
      <alignment horizontal="left" vertical="center" indent="2"/>
    </xf>
    <xf numFmtId="0" fontId="49" fillId="0" borderId="7" applyAlignment="1" pivotButton="0" quotePrefix="0" xfId="17">
      <alignment horizontal="left" vertical="center" indent="3"/>
    </xf>
    <xf numFmtId="0" fontId="25" fillId="2" borderId="7" applyAlignment="1" pivotButton="0" quotePrefix="0" xfId="17">
      <alignment vertical="center"/>
    </xf>
    <xf numFmtId="0" fontId="49" fillId="2" borderId="7" applyAlignment="1" pivotButton="0" quotePrefix="0" xfId="17">
      <alignment horizontal="left" vertical="center" indent="3"/>
    </xf>
    <xf numFmtId="0" fontId="26" fillId="2" borderId="0" applyAlignment="1" pivotButton="0" quotePrefix="0" xfId="0">
      <alignment vertical="center"/>
    </xf>
    <xf numFmtId="165" fontId="13" fillId="5" borderId="7" applyAlignment="1" pivotButton="0" quotePrefix="0" xfId="17">
      <alignment horizontal="right" vertical="center"/>
    </xf>
    <xf numFmtId="165" fontId="49" fillId="5" borderId="7" applyAlignment="1" pivotButton="0" quotePrefix="0" xfId="17">
      <alignment horizontal="right" vertical="center"/>
    </xf>
    <xf numFmtId="0" fontId="13" fillId="2" borderId="0" applyAlignment="1" pivotButton="0" quotePrefix="1" xfId="24">
      <alignment vertical="top" wrapText="1"/>
    </xf>
    <xf numFmtId="0" fontId="13" fillId="2" borderId="0" applyAlignment="1" pivotButton="0" quotePrefix="0" xfId="17">
      <alignment vertical="top"/>
    </xf>
    <xf numFmtId="165" fontId="13" fillId="5" borderId="7" applyAlignment="1" pivotButton="0" quotePrefix="0" xfId="0">
      <alignment horizontal="right" vertical="center"/>
    </xf>
    <xf numFmtId="165" fontId="49" fillId="5" borderId="7" applyAlignment="1" pivotButton="0" quotePrefix="0" xfId="0">
      <alignment horizontal="right" vertical="center"/>
    </xf>
    <xf numFmtId="169" fontId="13" fillId="2" borderId="0" pivotButton="0" quotePrefix="0" xfId="0"/>
    <xf numFmtId="0" fontId="45" fillId="12" borderId="0" pivotButton="0" quotePrefix="0" xfId="0"/>
    <xf numFmtId="0" fontId="26" fillId="12" borderId="0" pivotButton="0" quotePrefix="0" xfId="0"/>
    <xf numFmtId="0" fontId="13" fillId="0" borderId="0" applyAlignment="1" pivotButton="0" quotePrefix="0" xfId="17">
      <alignment horizontal="center" vertical="center" wrapText="1"/>
    </xf>
    <xf numFmtId="188" fontId="26" fillId="2" borderId="0" applyAlignment="1" pivotButton="0" quotePrefix="0" xfId="0">
      <alignment horizontal="right" vertical="center"/>
    </xf>
    <xf numFmtId="169" fontId="26" fillId="2" borderId="0" pivotButton="0" quotePrefix="0" xfId="0"/>
    <xf numFmtId="0" fontId="25" fillId="0" borderId="0" pivotButton="0" quotePrefix="0" xfId="29"/>
    <xf numFmtId="0" fontId="24" fillId="12" borderId="0" pivotButton="0" quotePrefix="0" xfId="29"/>
    <xf numFmtId="0" fontId="13" fillId="12" borderId="0" pivotButton="0" quotePrefix="0" xfId="29"/>
    <xf numFmtId="0" fontId="13" fillId="0" borderId="7" applyAlignment="1" pivotButton="0" quotePrefix="0" xfId="29">
      <alignment vertical="center"/>
    </xf>
    <xf numFmtId="0" fontId="20" fillId="8" borderId="7" applyAlignment="1" pivotButton="0" quotePrefix="0" xfId="0">
      <alignment horizontal="left"/>
    </xf>
    <xf numFmtId="0" fontId="20" fillId="0" borderId="55" pivotButton="0" quotePrefix="0" xfId="29"/>
    <xf numFmtId="0" fontId="54" fillId="21" borderId="0" applyAlignment="1" pivotButton="0" quotePrefix="0" xfId="29">
      <alignment horizontal="left" vertical="center"/>
    </xf>
    <xf numFmtId="0" fontId="54" fillId="21" borderId="0" applyAlignment="1" pivotButton="0" quotePrefix="0" xfId="17">
      <alignment horizontal="left" vertical="center"/>
    </xf>
    <xf numFmtId="0" fontId="54" fillId="21" borderId="0" pivotButton="0" quotePrefix="0" xfId="29"/>
    <xf numFmtId="0" fontId="25" fillId="0" borderId="0" applyAlignment="1" pivotButton="0" quotePrefix="0" xfId="17">
      <alignment horizontal="left" vertical="center"/>
    </xf>
    <xf numFmtId="0" fontId="25" fillId="18" borderId="7" applyAlignment="1" pivotButton="0" quotePrefix="0" xfId="17">
      <alignment horizontal="center" vertical="center" wrapText="1"/>
    </xf>
    <xf numFmtId="0" fontId="13" fillId="0" borderId="13" applyAlignment="1" pivotButton="0" quotePrefix="0" xfId="17">
      <alignment horizontal="left" vertical="center" wrapText="1"/>
    </xf>
    <xf numFmtId="174" fontId="20" fillId="0" borderId="0" pivotButton="0" quotePrefix="0" xfId="29"/>
    <xf numFmtId="0" fontId="24" fillId="0" borderId="7" pivotButton="0" quotePrefix="0" xfId="29"/>
    <xf numFmtId="174" fontId="24" fillId="5" borderId="7" applyAlignment="1" pivotButton="0" quotePrefix="0" xfId="29">
      <alignment horizontal="center"/>
    </xf>
    <xf numFmtId="0" fontId="34" fillId="0" borderId="7" applyAlignment="1" pivotButton="0" quotePrefix="0" xfId="17">
      <alignment horizontal="center" vertical="center" wrapText="1"/>
    </xf>
    <xf numFmtId="0" fontId="13" fillId="0" borderId="49" applyAlignment="1" pivotButton="0" quotePrefix="0" xfId="17">
      <alignment horizontal="left" vertical="center" wrapText="1"/>
    </xf>
    <xf numFmtId="3" fontId="13" fillId="5" borderId="49" applyAlignment="1" pivotButton="0" quotePrefix="0" xfId="17">
      <alignment horizontal="center" vertical="center" wrapText="1"/>
    </xf>
    <xf numFmtId="3" fontId="49" fillId="5" borderId="49" applyAlignment="1" pivotButton="0" quotePrefix="0" xfId="17">
      <alignment horizontal="center" vertical="center" wrapText="1"/>
    </xf>
    <xf numFmtId="0" fontId="13" fillId="0" borderId="11" applyAlignment="1" pivotButton="0" quotePrefix="0" xfId="17">
      <alignment horizontal="left" vertical="center" wrapText="1"/>
    </xf>
    <xf numFmtId="3" fontId="13" fillId="5" borderId="11" applyAlignment="1" pivotButton="0" quotePrefix="0" xfId="17">
      <alignment horizontal="center" vertical="center" wrapText="1"/>
    </xf>
    <xf numFmtId="3" fontId="49" fillId="5" borderId="11" applyAlignment="1" pivotButton="0" quotePrefix="0" xfId="17">
      <alignment horizontal="center" vertical="center" wrapText="1"/>
    </xf>
    <xf numFmtId="3" fontId="24" fillId="5" borderId="7" applyAlignment="1" pivotButton="0" quotePrefix="0" xfId="29">
      <alignment horizontal="center"/>
    </xf>
    <xf numFmtId="3" fontId="28" fillId="5" borderId="7" applyAlignment="1" pivotButton="0" quotePrefix="0" xfId="29">
      <alignment horizontal="center"/>
    </xf>
    <xf numFmtId="0" fontId="13" fillId="0" borderId="0" applyAlignment="1" pivotButton="0" quotePrefix="0" xfId="17">
      <alignment horizontal="left"/>
    </xf>
    <xf numFmtId="0" fontId="25" fillId="0" borderId="8" applyAlignment="1" pivotButton="0" quotePrefix="0" xfId="17">
      <alignment horizontal="left" vertical="center"/>
    </xf>
    <xf numFmtId="0" fontId="25" fillId="0" borderId="0" applyAlignment="1" pivotButton="0" quotePrefix="0" xfId="17">
      <alignment horizontal="left" vertical="center" wrapText="1"/>
    </xf>
    <xf numFmtId="0" fontId="25" fillId="0" borderId="0" applyAlignment="1" pivotButton="0" quotePrefix="0" xfId="17">
      <alignment horizontal="right" vertical="center"/>
    </xf>
    <xf numFmtId="0" fontId="49" fillId="0" borderId="0" pivotButton="0" quotePrefix="0" xfId="29"/>
    <xf numFmtId="0" fontId="13" fillId="0" borderId="0" applyAlignment="1" pivotButton="0" quotePrefix="0" xfId="17">
      <alignment horizontal="left" vertical="top" wrapText="1"/>
    </xf>
    <xf numFmtId="0" fontId="13" fillId="0" borderId="7" applyAlignment="1" pivotButton="0" quotePrefix="1" xfId="17">
      <alignment vertical="center"/>
    </xf>
    <xf numFmtId="0" fontId="24" fillId="20" borderId="0" pivotButton="0" quotePrefix="0" xfId="29"/>
    <xf numFmtId="0" fontId="13" fillId="5" borderId="7" applyAlignment="1" pivotButton="0" quotePrefix="0" xfId="29">
      <alignment horizontal="left"/>
    </xf>
    <xf numFmtId="0" fontId="34" fillId="0" borderId="0" applyAlignment="1" pivotButton="0" quotePrefix="0" xfId="23">
      <alignment vertical="top"/>
    </xf>
    <xf numFmtId="0" fontId="34" fillId="0" borderId="0" applyAlignment="1" pivotButton="0" quotePrefix="0" xfId="23">
      <alignment vertical="top" wrapText="1"/>
    </xf>
    <xf numFmtId="0" fontId="13" fillId="0" borderId="0" applyAlignment="1" pivotButton="0" quotePrefix="0" xfId="17">
      <alignment vertical="top"/>
    </xf>
    <xf numFmtId="0" fontId="31" fillId="21" borderId="0" applyAlignment="1" pivotButton="0" quotePrefix="0" xfId="17">
      <alignment horizontal="left" vertical="center"/>
    </xf>
    <xf numFmtId="9" fontId="13" fillId="4" borderId="7" applyAlignment="1" applyProtection="1" pivotButton="0" quotePrefix="0" xfId="22">
      <alignment horizontal="center" vertical="center" wrapText="1"/>
      <protection locked="0" hidden="0"/>
    </xf>
    <xf numFmtId="0" fontId="25" fillId="2" borderId="8" applyAlignment="1" pivotButton="0" quotePrefix="0" xfId="17">
      <alignment horizontal="left" vertical="center"/>
    </xf>
    <xf numFmtId="0" fontId="25" fillId="2" borderId="9" applyAlignment="1" pivotButton="0" quotePrefix="0" xfId="17">
      <alignment horizontal="left" vertical="center"/>
    </xf>
    <xf numFmtId="0" fontId="49" fillId="0" borderId="0" applyAlignment="1" pivotButton="0" quotePrefix="0" xfId="29">
      <alignment vertical="top" wrapText="1"/>
    </xf>
    <xf numFmtId="0" fontId="13" fillId="0" borderId="0" applyAlignment="1" pivotButton="0" quotePrefix="0" xfId="17">
      <alignment vertical="center"/>
    </xf>
    <xf numFmtId="3" fontId="26" fillId="0" borderId="0" applyAlignment="1" pivotButton="0" quotePrefix="0" xfId="24">
      <alignment vertical="center"/>
    </xf>
    <xf numFmtId="0" fontId="25" fillId="2" borderId="51" applyAlignment="1" pivotButton="0" quotePrefix="0" xfId="17">
      <alignment horizontal="center" vertical="center" wrapText="1"/>
    </xf>
    <xf numFmtId="0" fontId="25" fillId="2" borderId="49" applyAlignment="1" pivotButton="0" quotePrefix="0" xfId="17">
      <alignment horizontal="center" vertical="center" wrapText="1"/>
    </xf>
    <xf numFmtId="0" fontId="25" fillId="2" borderId="7" applyAlignment="1" pivotButton="0" quotePrefix="0" xfId="17">
      <alignment horizontal="centerContinuous" vertical="center" wrapText="1"/>
    </xf>
    <xf numFmtId="0" fontId="13" fillId="0" borderId="51" applyAlignment="1" pivotButton="0" quotePrefix="0" xfId="17">
      <alignment vertical="center"/>
    </xf>
    <xf numFmtId="0" fontId="13" fillId="0" borderId="53" applyAlignment="1" pivotButton="0" quotePrefix="0" xfId="17">
      <alignment vertical="center"/>
    </xf>
    <xf numFmtId="0" fontId="49" fillId="0" borderId="52" applyAlignment="1" pivotButton="0" quotePrefix="0" xfId="17">
      <alignment horizontal="left" vertical="center"/>
    </xf>
    <xf numFmtId="0" fontId="13" fillId="0" borderId="54" applyAlignment="1" pivotButton="0" quotePrefix="0" xfId="17">
      <alignment vertical="center"/>
    </xf>
    <xf numFmtId="0" fontId="13" fillId="0" borderId="51" applyAlignment="1" pivotButton="0" quotePrefix="0" xfId="17">
      <alignment horizontal="left" vertical="center"/>
    </xf>
    <xf numFmtId="0" fontId="49" fillId="0" borderId="50" applyAlignment="1" pivotButton="0" quotePrefix="0" xfId="17">
      <alignment horizontal="left" vertical="center"/>
    </xf>
    <xf numFmtId="0" fontId="13" fillId="0" borderId="12" applyAlignment="1" pivotButton="0" quotePrefix="0" xfId="17">
      <alignment vertical="center"/>
    </xf>
    <xf numFmtId="0" fontId="25" fillId="0" borderId="8" applyAlignment="1" pivotButton="0" quotePrefix="0" xfId="17">
      <alignment vertical="center"/>
    </xf>
    <xf numFmtId="0" fontId="25" fillId="0" borderId="9" applyAlignment="1" pivotButton="0" quotePrefix="0" xfId="17">
      <alignment vertical="center"/>
    </xf>
    <xf numFmtId="0" fontId="49" fillId="0" borderId="0" applyAlignment="1" pivotButton="0" quotePrefix="0" xfId="17">
      <alignment horizontal="left" vertical="center"/>
    </xf>
    <xf numFmtId="0" fontId="49" fillId="0" borderId="0" applyAlignment="1" pivotButton="0" quotePrefix="0" xfId="17">
      <alignment vertical="center"/>
    </xf>
    <xf numFmtId="0" fontId="13" fillId="0" borderId="52" applyAlignment="1" pivotButton="0" quotePrefix="0" xfId="17">
      <alignment horizontal="left" vertical="center"/>
    </xf>
    <xf numFmtId="165" fontId="13" fillId="7" borderId="13" applyAlignment="1" applyProtection="1" pivotButton="0" quotePrefix="0" xfId="22">
      <alignment vertical="center" wrapText="1"/>
      <protection locked="0" hidden="0"/>
    </xf>
    <xf numFmtId="0" fontId="25" fillId="0" borderId="0" applyAlignment="1" pivotButton="0" quotePrefix="0" xfId="17">
      <alignment horizontal="left" vertical="top"/>
    </xf>
    <xf numFmtId="0" fontId="57" fillId="0" borderId="0" applyAlignment="1" pivotButton="0" quotePrefix="0" xfId="29">
      <alignment vertical="center"/>
    </xf>
    <xf numFmtId="0" fontId="25" fillId="0" borderId="50" applyAlignment="1" pivotButton="0" quotePrefix="0" xfId="17">
      <alignment horizontal="left" vertical="center"/>
    </xf>
    <xf numFmtId="0" fontId="25" fillId="0" borderId="12" applyAlignment="1" pivotButton="0" quotePrefix="0" xfId="17">
      <alignment horizontal="left" vertical="center"/>
    </xf>
    <xf numFmtId="0" fontId="31" fillId="21" borderId="0" applyAlignment="1" pivotButton="0" quotePrefix="0" xfId="29">
      <alignment horizontal="left" vertical="center"/>
    </xf>
    <xf numFmtId="0" fontId="25" fillId="0" borderId="9" applyAlignment="1" pivotButton="0" quotePrefix="0" xfId="17">
      <alignment horizontal="left" vertical="center"/>
    </xf>
    <xf numFmtId="0" fontId="20" fillId="0" borderId="6" applyAlignment="1" pivotButton="0" quotePrefix="0" xfId="29">
      <alignment vertical="center"/>
    </xf>
    <xf numFmtId="0" fontId="20" fillId="0" borderId="6" pivotButton="0" quotePrefix="0" xfId="29"/>
    <xf numFmtId="0" fontId="20" fillId="0" borderId="0" applyAlignment="1" pivotButton="0" quotePrefix="0" xfId="29">
      <alignment wrapText="1"/>
    </xf>
    <xf numFmtId="0" fontId="20" fillId="0" borderId="10" applyAlignment="1" pivotButton="0" quotePrefix="0" xfId="29">
      <alignment vertical="center"/>
    </xf>
    <xf numFmtId="0" fontId="20" fillId="0" borderId="10" pivotButton="0" quotePrefix="0" xfId="29"/>
    <xf numFmtId="0" fontId="25" fillId="0" borderId="6" applyAlignment="1" pivotButton="0" quotePrefix="0" xfId="17">
      <alignment horizontal="left" vertical="center"/>
    </xf>
    <xf numFmtId="9" fontId="20" fillId="0" borderId="0" pivotButton="0" quotePrefix="0" xfId="29"/>
    <xf numFmtId="0" fontId="20" fillId="0" borderId="0" applyAlignment="1" pivotButton="0" quotePrefix="1" xfId="29">
      <alignment horizontal="center" vertical="center" wrapText="1"/>
    </xf>
    <xf numFmtId="1" fontId="43" fillId="7" borderId="7" applyAlignment="1" applyProtection="1" pivotButton="0" quotePrefix="0" xfId="29">
      <alignment horizontal="right" vertical="center" wrapText="1"/>
      <protection locked="0" hidden="0"/>
    </xf>
    <xf numFmtId="0" fontId="13" fillId="0" borderId="0" applyAlignment="1" pivotButton="0" quotePrefix="0" xfId="24">
      <alignment vertical="center" wrapText="1"/>
    </xf>
    <xf numFmtId="0" fontId="13" fillId="0" borderId="0" applyAlignment="1" pivotButton="0" quotePrefix="0" xfId="17">
      <alignment horizontal="center"/>
    </xf>
    <xf numFmtId="0" fontId="13" fillId="0" borderId="0" applyAlignment="1" pivotButton="0" quotePrefix="0" xfId="17">
      <alignment horizontal="center" vertical="center"/>
    </xf>
    <xf numFmtId="1" fontId="44" fillId="5" borderId="7" applyAlignment="1" pivotButton="0" quotePrefix="0" xfId="29">
      <alignment horizontal="right" vertical="center" wrapText="1"/>
    </xf>
    <xf numFmtId="1" fontId="20" fillId="5" borderId="7" pivotButton="0" quotePrefix="0" xfId="29"/>
    <xf numFmtId="1" fontId="20" fillId="3" borderId="13" pivotButton="0" quotePrefix="0" xfId="29"/>
    <xf numFmtId="0" fontId="44" fillId="0" borderId="52" applyAlignment="1" pivotButton="0" quotePrefix="0" xfId="29">
      <alignment vertical="center" wrapText="1"/>
    </xf>
    <xf numFmtId="0" fontId="44" fillId="0" borderId="50" applyAlignment="1" pivotButton="0" quotePrefix="0" xfId="29">
      <alignment vertical="center" wrapText="1"/>
    </xf>
    <xf numFmtId="0" fontId="13" fillId="0" borderId="6" applyAlignment="1" pivotButton="0" quotePrefix="0" xfId="17">
      <alignment horizontal="center" vertical="center"/>
    </xf>
    <xf numFmtId="1" fontId="20" fillId="3" borderId="11" pivotButton="0" quotePrefix="0" xfId="29"/>
    <xf numFmtId="0" fontId="43" fillId="0" borderId="8" applyAlignment="1" pivotButton="0" quotePrefix="0" xfId="29">
      <alignment vertical="center" wrapText="1"/>
    </xf>
    <xf numFmtId="0" fontId="13" fillId="0" borderId="9" applyAlignment="1" pivotButton="0" quotePrefix="0" xfId="17">
      <alignment horizontal="center" vertical="center"/>
    </xf>
    <xf numFmtId="9" fontId="44" fillId="5" borderId="7" applyAlignment="1" pivotButton="0" quotePrefix="0" xfId="29">
      <alignment horizontal="right" vertical="center" wrapText="1"/>
    </xf>
    <xf numFmtId="9" fontId="20" fillId="5" borderId="7" pivotButton="0" quotePrefix="0" xfId="29"/>
    <xf numFmtId="9" fontId="20" fillId="18" borderId="7" pivotButton="0" quotePrefix="0" xfId="29"/>
    <xf numFmtId="0" fontId="13" fillId="0" borderId="54" applyAlignment="1" pivotButton="0" quotePrefix="0" xfId="17">
      <alignment horizontal="center" vertical="center"/>
    </xf>
    <xf numFmtId="1" fontId="44" fillId="3" borderId="13" applyAlignment="1" pivotButton="0" quotePrefix="0" xfId="29">
      <alignment horizontal="right" vertical="center" wrapText="1"/>
    </xf>
    <xf numFmtId="0" fontId="13" fillId="0" borderId="12" applyAlignment="1" pivotButton="0" quotePrefix="0" xfId="17">
      <alignment horizontal="center" vertical="center"/>
    </xf>
    <xf numFmtId="1" fontId="44" fillId="3" borderId="11" applyAlignment="1" pivotButton="0" quotePrefix="0" xfId="29">
      <alignment horizontal="right" vertical="center" wrapText="1"/>
    </xf>
    <xf numFmtId="0" fontId="40" fillId="0" borderId="0" applyAlignment="1" pivotButton="0" quotePrefix="0" xfId="24">
      <alignment vertical="center" wrapText="1"/>
    </xf>
    <xf numFmtId="0" fontId="13" fillId="0" borderId="0" applyAlignment="1" pivotButton="0" quotePrefix="1" xfId="23">
      <alignment horizontal="left" vertical="center"/>
    </xf>
    <xf numFmtId="0" fontId="13" fillId="0" borderId="49" applyAlignment="1" pivotButton="0" quotePrefix="0" xfId="23">
      <alignment vertical="center"/>
    </xf>
    <xf numFmtId="0" fontId="13" fillId="0" borderId="53" applyAlignment="1" pivotButton="0" quotePrefix="0" xfId="17">
      <alignment vertical="center" wrapText="1"/>
    </xf>
    <xf numFmtId="0" fontId="13" fillId="0" borderId="13" applyAlignment="1" pivotButton="0" quotePrefix="0" xfId="23">
      <alignment vertical="center"/>
    </xf>
    <xf numFmtId="0" fontId="13" fillId="0" borderId="54" applyAlignment="1" pivotButton="0" quotePrefix="0" xfId="17">
      <alignment vertical="center" wrapText="1"/>
    </xf>
    <xf numFmtId="0" fontId="13" fillId="0" borderId="11" applyAlignment="1" pivotButton="0" quotePrefix="0" xfId="23">
      <alignment vertical="center"/>
    </xf>
    <xf numFmtId="0" fontId="13" fillId="0" borderId="12" applyAlignment="1" pivotButton="0" quotePrefix="0" xfId="17">
      <alignment vertical="center" wrapText="1"/>
    </xf>
    <xf numFmtId="0" fontId="20" fillId="0" borderId="50" applyAlignment="1" pivotButton="0" quotePrefix="0" xfId="29">
      <alignment horizontal="left"/>
    </xf>
    <xf numFmtId="0" fontId="20" fillId="3" borderId="13" pivotButton="0" quotePrefix="0" xfId="29"/>
    <xf numFmtId="0" fontId="20" fillId="0" borderId="54" pivotButton="0" quotePrefix="0" xfId="29"/>
    <xf numFmtId="0" fontId="20" fillId="0" borderId="52" applyAlignment="1" pivotButton="0" quotePrefix="0" xfId="29">
      <alignment horizontal="left"/>
    </xf>
    <xf numFmtId="0" fontId="20" fillId="0" borderId="54" applyAlignment="1" pivotButton="0" quotePrefix="0" xfId="29">
      <alignment horizontal="left"/>
    </xf>
    <xf numFmtId="0" fontId="20" fillId="0" borderId="12" applyAlignment="1" pivotButton="0" quotePrefix="0" xfId="29">
      <alignment horizontal="left"/>
    </xf>
    <xf numFmtId="0" fontId="20" fillId="0" borderId="12" pivotButton="0" quotePrefix="0" xfId="29"/>
    <xf numFmtId="3" fontId="13" fillId="4" borderId="7" applyAlignment="1" applyProtection="1" pivotButton="0" quotePrefix="0" xfId="22">
      <alignment horizontal="center" vertical="center" wrapText="1"/>
      <protection locked="0" hidden="0"/>
    </xf>
    <xf numFmtId="3" fontId="13" fillId="7" borderId="7" applyAlignment="1" applyProtection="1" pivotButton="0" quotePrefix="0" xfId="22">
      <alignment vertical="center" wrapText="1"/>
      <protection locked="0" hidden="0"/>
    </xf>
    <xf numFmtId="177" fontId="20" fillId="5" borderId="7" applyAlignment="1" pivotButton="0" quotePrefix="0" xfId="29">
      <alignment vertical="center"/>
    </xf>
    <xf numFmtId="0" fontId="13" fillId="2" borderId="49" pivotButton="0" quotePrefix="0" xfId="29"/>
    <xf numFmtId="0" fontId="13" fillId="2" borderId="13" applyAlignment="1" pivotButton="0" quotePrefix="0" xfId="29">
      <alignment vertical="center"/>
    </xf>
    <xf numFmtId="0" fontId="13" fillId="2" borderId="54" pivotButton="0" quotePrefix="0" xfId="29"/>
    <xf numFmtId="0" fontId="13" fillId="2" borderId="13" pivotButton="0" quotePrefix="0" xfId="29"/>
    <xf numFmtId="0" fontId="13" fillId="2" borderId="11" pivotButton="0" quotePrefix="0" xfId="29"/>
    <xf numFmtId="0" fontId="13" fillId="2" borderId="11" applyAlignment="1" pivotButton="0" quotePrefix="0" xfId="29">
      <alignment vertical="center"/>
    </xf>
    <xf numFmtId="0" fontId="13" fillId="2" borderId="12" pivotButton="0" quotePrefix="0" xfId="29"/>
    <xf numFmtId="0" fontId="25" fillId="20" borderId="0" pivotButton="0" quotePrefix="0" xfId="29"/>
    <xf numFmtId="0" fontId="34" fillId="0" borderId="0" applyAlignment="1" pivotButton="0" quotePrefix="0" xfId="23">
      <alignment horizontal="left" vertical="top" wrapText="1"/>
    </xf>
    <xf numFmtId="0" fontId="31" fillId="21" borderId="0" applyAlignment="1" pivotButton="0" quotePrefix="1" xfId="29">
      <alignment horizontal="left" vertical="center"/>
    </xf>
    <xf numFmtId="0" fontId="25" fillId="21" borderId="0" applyAlignment="1" pivotButton="0" quotePrefix="0" xfId="17">
      <alignment horizontal="left" vertical="center"/>
    </xf>
    <xf numFmtId="0" fontId="25" fillId="21" borderId="0" pivotButton="0" quotePrefix="0" xfId="29"/>
    <xf numFmtId="0" fontId="25" fillId="5" borderId="7" applyAlignment="1" pivotButton="0" quotePrefix="0" xfId="17">
      <alignment horizontal="center" vertical="center"/>
    </xf>
    <xf numFmtId="0" fontId="25" fillId="0" borderId="0" applyAlignment="1" pivotButton="0" quotePrefix="0" xfId="17">
      <alignment horizontal="center" vertical="center"/>
    </xf>
    <xf numFmtId="10" fontId="13" fillId="4" borderId="7" applyAlignment="1" applyProtection="1" pivotButton="0" quotePrefix="0" xfId="22">
      <alignment horizontal="center" vertical="center" wrapText="1"/>
      <protection locked="0" hidden="0"/>
    </xf>
    <xf numFmtId="0" fontId="38" fillId="0" borderId="0" applyAlignment="1" pivotButton="0" quotePrefix="0" xfId="29">
      <alignment vertical="center" wrapText="1"/>
    </xf>
    <xf numFmtId="0" fontId="13" fillId="0" borderId="0" applyAlignment="1" pivotButton="0" quotePrefix="0" xfId="17">
      <alignment wrapText="1"/>
    </xf>
    <xf numFmtId="0" fontId="25" fillId="0" borderId="0" applyAlignment="1" pivotButton="0" quotePrefix="0" xfId="17">
      <alignment vertical="center" wrapText="1"/>
    </xf>
    <xf numFmtId="0" fontId="25" fillId="2" borderId="11" applyAlignment="1" pivotButton="0" quotePrefix="0" xfId="17">
      <alignment horizontal="center" vertical="center" wrapText="1"/>
    </xf>
    <xf numFmtId="0" fontId="13" fillId="0" borderId="49" applyAlignment="1" pivotButton="0" quotePrefix="0" xfId="17">
      <alignment horizontal="center" vertical="center"/>
    </xf>
    <xf numFmtId="165" fontId="13" fillId="0" borderId="0" applyAlignment="1" pivotButton="0" quotePrefix="0" xfId="17">
      <alignment vertical="center"/>
    </xf>
    <xf numFmtId="165" fontId="13" fillId="7" borderId="7" applyAlignment="1" applyProtection="1" pivotButton="0" quotePrefix="0" xfId="22">
      <alignment vertical="center" wrapText="1"/>
      <protection locked="0" hidden="0"/>
    </xf>
    <xf numFmtId="178" fontId="13" fillId="0" borderId="0" pivotButton="0" quotePrefix="0" xfId="29"/>
    <xf numFmtId="0" fontId="38" fillId="5" borderId="0" pivotButton="0" quotePrefix="0" xfId="29"/>
    <xf numFmtId="0" fontId="13" fillId="5" borderId="13" applyAlignment="1" pivotButton="0" quotePrefix="0" xfId="17">
      <alignment horizontal="center" vertical="center"/>
    </xf>
    <xf numFmtId="3" fontId="38" fillId="5" borderId="0" pivotButton="0" quotePrefix="0" xfId="29"/>
    <xf numFmtId="3" fontId="13" fillId="0" borderId="0" pivotButton="0" quotePrefix="0" xfId="29"/>
    <xf numFmtId="0" fontId="13" fillId="0" borderId="13" applyAlignment="1" pivotButton="0" quotePrefix="1" xfId="17">
      <alignment horizontal="center" vertical="center"/>
    </xf>
    <xf numFmtId="0" fontId="13" fillId="0" borderId="54" applyAlignment="1" pivotButton="0" quotePrefix="1" xfId="17">
      <alignment horizontal="center" vertical="center"/>
    </xf>
    <xf numFmtId="0" fontId="13" fillId="5" borderId="11" applyAlignment="1" pivotButton="0" quotePrefix="0" xfId="17">
      <alignment horizontal="center" vertical="center"/>
    </xf>
    <xf numFmtId="0" fontId="13" fillId="0" borderId="0" applyAlignment="1" pivotButton="0" quotePrefix="0" xfId="17">
      <alignment horizontal="left" vertical="top"/>
    </xf>
    <xf numFmtId="0" fontId="25" fillId="0" borderId="7" applyAlignment="1" pivotButton="0" quotePrefix="0" xfId="29">
      <alignment horizontal="center" vertical="center" wrapText="1"/>
    </xf>
    <xf numFmtId="0" fontId="25" fillId="0" borderId="0" applyAlignment="1" pivotButton="0" quotePrefix="0" xfId="29">
      <alignment horizontal="center" vertical="center" wrapText="1"/>
    </xf>
    <xf numFmtId="0" fontId="25" fillId="0" borderId="51" applyAlignment="1" pivotButton="0" quotePrefix="0" xfId="17">
      <alignment vertical="center"/>
    </xf>
    <xf numFmtId="0" fontId="25" fillId="0" borderId="53" applyAlignment="1" pivotButton="0" quotePrefix="0" xfId="17">
      <alignment vertical="center"/>
    </xf>
    <xf numFmtId="0" fontId="25" fillId="0" borderId="0" pivotButton="0" quotePrefix="0" xfId="17"/>
    <xf numFmtId="0" fontId="25" fillId="2" borderId="7" applyAlignment="1" pivotButton="0" quotePrefix="0" xfId="29">
      <alignment horizontal="center" vertical="center" wrapText="1"/>
    </xf>
    <xf numFmtId="0" fontId="20" fillId="12" borderId="0" pivotButton="0" quotePrefix="0" xfId="29"/>
    <xf numFmtId="0" fontId="20" fillId="2" borderId="7" applyAlignment="1" pivotButton="0" quotePrefix="0" xfId="0">
      <alignment vertical="top"/>
    </xf>
    <xf numFmtId="1" fontId="20" fillId="2" borderId="0" pivotButton="0" quotePrefix="0" xfId="29"/>
    <xf numFmtId="1" fontId="20" fillId="5" borderId="7" applyAlignment="1" pivotButton="0" quotePrefix="0" xfId="29">
      <alignment horizontal="center" vertical="center"/>
    </xf>
    <xf numFmtId="10" fontId="20" fillId="5" borderId="10" applyAlignment="1" pivotButton="0" quotePrefix="0" xfId="29">
      <alignment vertical="center"/>
    </xf>
    <xf numFmtId="10" fontId="20" fillId="5" borderId="53" applyAlignment="1" pivotButton="0" quotePrefix="0" xfId="29">
      <alignment vertical="center"/>
    </xf>
    <xf numFmtId="10" fontId="20" fillId="5" borderId="0" applyAlignment="1" pivotButton="0" quotePrefix="0" xfId="29">
      <alignment vertical="center"/>
    </xf>
    <xf numFmtId="10" fontId="20" fillId="5" borderId="54" applyAlignment="1" pivotButton="0" quotePrefix="0" xfId="29">
      <alignment vertical="center"/>
    </xf>
    <xf numFmtId="10" fontId="20" fillId="5" borderId="52" applyAlignment="1" pivotButton="0" quotePrefix="0" xfId="29">
      <alignment vertical="center"/>
    </xf>
    <xf numFmtId="10" fontId="20" fillId="5" borderId="6" applyAlignment="1" pivotButton="0" quotePrefix="0" xfId="29">
      <alignment vertical="center"/>
    </xf>
    <xf numFmtId="10" fontId="20" fillId="5" borderId="12" applyAlignment="1" pivotButton="0" quotePrefix="0" xfId="29">
      <alignment vertical="center"/>
    </xf>
    <xf numFmtId="10" fontId="20" fillId="5" borderId="50" applyAlignment="1" pivotButton="0" quotePrefix="0" xfId="29">
      <alignment vertical="center"/>
    </xf>
    <xf numFmtId="0" fontId="59" fillId="12" borderId="0" applyAlignment="1" pivotButton="0" quotePrefix="0" xfId="0">
      <alignment horizontal="center"/>
    </xf>
    <xf numFmtId="0" fontId="13" fillId="0" borderId="0" applyAlignment="1" pivotButton="0" quotePrefix="0" xfId="33">
      <alignment horizontal="left" vertical="center" wrapText="1"/>
    </xf>
    <xf numFmtId="0" fontId="13" fillId="0" borderId="0" applyAlignment="1" pivotButton="0" quotePrefix="0" xfId="33">
      <alignment vertical="top" wrapText="1"/>
    </xf>
    <xf numFmtId="0" fontId="31" fillId="21" borderId="0" applyAlignment="1" pivotButton="0" quotePrefix="0" xfId="33">
      <alignment horizontal="left" vertical="center"/>
    </xf>
    <xf numFmtId="0" fontId="31" fillId="21" borderId="0" applyAlignment="1" pivotButton="0" quotePrefix="0" xfId="33">
      <alignment horizontal="left" vertical="center" wrapText="1"/>
    </xf>
    <xf numFmtId="0" fontId="31" fillId="21" borderId="0" applyAlignment="1" pivotButton="0" quotePrefix="0" xfId="33">
      <alignment vertical="top" wrapText="1"/>
    </xf>
    <xf numFmtId="0" fontId="40" fillId="21" borderId="0" pivotButton="0" quotePrefix="0" xfId="20"/>
    <xf numFmtId="0" fontId="25" fillId="0" borderId="51" applyAlignment="1" pivotButton="0" quotePrefix="0" xfId="33">
      <alignment horizontal="left" vertical="center" wrapText="1"/>
    </xf>
    <xf numFmtId="0" fontId="25" fillId="0" borderId="53" applyAlignment="1" pivotButton="0" quotePrefix="0" xfId="33">
      <alignment horizontal="left" vertical="center" wrapText="1"/>
    </xf>
    <xf numFmtId="0" fontId="25" fillId="0" borderId="0" applyAlignment="1" pivotButton="0" quotePrefix="0" xfId="33">
      <alignment horizontal="left" vertical="center" wrapText="1"/>
    </xf>
    <xf numFmtId="0" fontId="49" fillId="0" borderId="0" applyAlignment="1" pivotButton="0" quotePrefix="0" xfId="33">
      <alignment horizontal="left" vertical="center" wrapText="1"/>
    </xf>
    <xf numFmtId="0" fontId="13" fillId="0" borderId="0" applyAlignment="1" pivotButton="0" quotePrefix="0" xfId="33">
      <alignment horizontal="center" vertical="top" wrapText="1"/>
    </xf>
    <xf numFmtId="0" fontId="13" fillId="0" borderId="7" applyAlignment="1" pivotButton="0" quotePrefix="0" xfId="17">
      <alignment vertical="center" wrapText="1"/>
    </xf>
    <xf numFmtId="171" fontId="13" fillId="10" borderId="7" applyAlignment="1" applyProtection="1" pivotButton="0" quotePrefix="0" xfId="22">
      <alignment horizontal="center" vertical="center" wrapText="1"/>
      <protection locked="0" hidden="0"/>
    </xf>
    <xf numFmtId="171" fontId="13" fillId="10" borderId="51" applyAlignment="1" applyProtection="1" pivotButton="0" quotePrefix="0" xfId="22">
      <alignment horizontal="center" vertical="center" wrapText="1"/>
      <protection locked="0" hidden="0"/>
    </xf>
    <xf numFmtId="171" fontId="13" fillId="10" borderId="8" applyAlignment="1" applyProtection="1" pivotButton="0" quotePrefix="0" xfId="22">
      <alignment horizontal="center" vertical="center" wrapText="1"/>
      <protection locked="0" hidden="0"/>
    </xf>
    <xf numFmtId="0" fontId="13" fillId="3" borderId="0" applyAlignment="1" pivotButton="0" quotePrefix="0" xfId="33">
      <alignment horizontal="center" vertical="top" wrapText="1"/>
    </xf>
    <xf numFmtId="0" fontId="13" fillId="3" borderId="0" pivotButton="0" quotePrefix="0" xfId="20"/>
    <xf numFmtId="0" fontId="40" fillId="21" borderId="0" applyAlignment="1" pivotButton="0" quotePrefix="0" xfId="33">
      <alignment horizontal="left" vertical="center" wrapText="1"/>
    </xf>
    <xf numFmtId="0" fontId="40" fillId="21" borderId="0" applyAlignment="1" pivotButton="0" quotePrefix="0" xfId="33">
      <alignment vertical="top" wrapText="1"/>
    </xf>
    <xf numFmtId="0" fontId="50" fillId="0" borderId="0" applyAlignment="1" pivotButton="0" quotePrefix="0" xfId="33">
      <alignment horizontal="left" vertical="center"/>
    </xf>
    <xf numFmtId="165" fontId="13" fillId="7" borderId="49" applyAlignment="1" applyProtection="1" pivotButton="0" quotePrefix="0" xfId="22">
      <alignment horizontal="center" vertical="center" wrapText="1"/>
      <protection locked="0" hidden="0"/>
    </xf>
    <xf numFmtId="0" fontId="20" fillId="0" borderId="0" applyAlignment="1" pivotButton="0" quotePrefix="0" xfId="20">
      <alignment horizontal="left" vertical="center"/>
    </xf>
    <xf numFmtId="165" fontId="13" fillId="7" borderId="7" applyAlignment="1" applyProtection="1" pivotButton="0" quotePrefix="0" xfId="22">
      <alignment horizontal="right" vertical="center" wrapText="1"/>
      <protection locked="0" hidden="0"/>
    </xf>
    <xf numFmtId="165" fontId="13" fillId="7" borderId="49" applyAlignment="1" applyProtection="1" pivotButton="0" quotePrefix="0" xfId="22">
      <alignment horizontal="right" vertical="center" wrapText="1"/>
      <protection locked="0" hidden="0"/>
    </xf>
    <xf numFmtId="0" fontId="25" fillId="0" borderId="52" applyAlignment="1" pivotButton="0" quotePrefix="0" xfId="17">
      <alignment vertical="center" wrapText="1"/>
    </xf>
    <xf numFmtId="0" fontId="13" fillId="18" borderId="7" applyAlignment="1" pivotButton="0" quotePrefix="0" xfId="20">
      <alignment vertical="center"/>
    </xf>
    <xf numFmtId="0" fontId="13" fillId="0" borderId="52" applyAlignment="1" pivotButton="0" quotePrefix="0" xfId="20">
      <alignment vertical="center"/>
    </xf>
    <xf numFmtId="0" fontId="13" fillId="0" borderId="0" applyAlignment="1" pivotButton="0" quotePrefix="0" xfId="20">
      <alignment vertical="center"/>
    </xf>
    <xf numFmtId="0" fontId="13" fillId="0" borderId="10" applyAlignment="1" pivotButton="0" quotePrefix="0" xfId="33">
      <alignment horizontal="center" vertical="top" wrapText="1"/>
    </xf>
    <xf numFmtId="0" fontId="13" fillId="0" borderId="0" applyAlignment="1" pivotButton="0" quotePrefix="0" xfId="33">
      <alignment horizontal="right" vertical="top" wrapText="1"/>
    </xf>
    <xf numFmtId="0" fontId="25" fillId="11" borderId="49" applyAlignment="1" pivotButton="0" quotePrefix="0" xfId="0">
      <alignment horizontal="center" vertical="center" wrapText="1"/>
    </xf>
    <xf numFmtId="0" fontId="13" fillId="11" borderId="49" applyAlignment="1" pivotButton="0" quotePrefix="0" xfId="0">
      <alignment horizontal="center" vertical="center" wrapText="1"/>
    </xf>
    <xf numFmtId="0" fontId="49" fillId="11" borderId="7" applyAlignment="1" pivotButton="0" quotePrefix="0" xfId="0">
      <alignment horizontal="center" vertical="center" wrapText="1"/>
    </xf>
    <xf numFmtId="0" fontId="25" fillId="18" borderId="7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18" borderId="7" applyAlignment="1" pivotButton="0" quotePrefix="0" xfId="0">
      <alignment wrapText="1"/>
    </xf>
    <xf numFmtId="0" fontId="25" fillId="11" borderId="7" applyAlignment="1" pivotButton="0" quotePrefix="0" xfId="0">
      <alignment horizontal="left" vertical="center" wrapText="1" indent="2"/>
    </xf>
    <xf numFmtId="0" fontId="44" fillId="3" borderId="9" applyAlignment="1" pivotButton="0" quotePrefix="0" xfId="0">
      <alignment vertical="center"/>
    </xf>
    <xf numFmtId="0" fontId="25" fillId="12" borderId="0" pivotButton="0" quotePrefix="0" xfId="8"/>
    <xf numFmtId="0" fontId="13" fillId="12" borderId="0" applyAlignment="1" pivotButton="0" quotePrefix="0" xfId="8">
      <alignment horizontal="center" wrapText="1"/>
    </xf>
    <xf numFmtId="0" fontId="20" fillId="12" borderId="0" applyAlignment="1" pivotButton="0" quotePrefix="0" xfId="8">
      <alignment horizontal="center" wrapText="1"/>
    </xf>
    <xf numFmtId="0" fontId="13" fillId="0" borderId="0" applyAlignment="1" pivotButton="0" quotePrefix="0" xfId="8">
      <alignment horizontal="left" vertical="top" wrapText="1"/>
    </xf>
    <xf numFmtId="0" fontId="26" fillId="0" borderId="0" applyAlignment="1" pivotButton="0" quotePrefix="0" xfId="8">
      <alignment horizontal="left" vertical="top" wrapText="1"/>
    </xf>
    <xf numFmtId="0" fontId="20" fillId="0" borderId="0" applyAlignment="1" pivotButton="0" quotePrefix="0" xfId="8">
      <alignment horizontal="left" vertical="top" wrapText="1"/>
    </xf>
    <xf numFmtId="0" fontId="20" fillId="0" borderId="7" applyAlignment="1" pivotButton="0" quotePrefix="0" xfId="8">
      <alignment horizontal="center"/>
    </xf>
    <xf numFmtId="0" fontId="24" fillId="0" borderId="7" applyAlignment="1" pivotButton="0" quotePrefix="0" xfId="8">
      <alignment horizontal="center" vertical="center" wrapText="1"/>
    </xf>
    <xf numFmtId="0" fontId="25" fillId="0" borderId="7" applyAlignment="1" pivotButton="0" quotePrefix="0" xfId="8">
      <alignment horizontal="center" vertical="center" wrapText="1"/>
    </xf>
    <xf numFmtId="0" fontId="25" fillId="0" borderId="7" applyAlignment="1" pivotButton="0" quotePrefix="0" xfId="8">
      <alignment horizontal="left" vertical="center" wrapText="1"/>
    </xf>
    <xf numFmtId="0" fontId="25" fillId="0" borderId="7" pivotButton="0" quotePrefix="0" xfId="8"/>
    <xf numFmtId="0" fontId="20" fillId="0" borderId="7" applyAlignment="1" pivotButton="0" quotePrefix="0" xfId="8">
      <alignment horizontal="left" vertical="center" indent="2"/>
    </xf>
    <xf numFmtId="0" fontId="13" fillId="0" borderId="7" applyAlignment="1" pivotButton="0" quotePrefix="0" xfId="8">
      <alignment horizontal="left" vertical="center" indent="2"/>
    </xf>
    <xf numFmtId="0" fontId="13" fillId="11" borderId="0" applyAlignment="1" pivotButton="0" quotePrefix="0" xfId="0">
      <alignment vertical="center"/>
    </xf>
    <xf numFmtId="0" fontId="20" fillId="0" borderId="7" applyAlignment="1" pivotButton="0" quotePrefix="0" xfId="0">
      <alignment horizontal="center" vertical="top"/>
    </xf>
    <xf numFmtId="0" fontId="36" fillId="0" borderId="0" applyAlignment="1" pivotButton="0" quotePrefix="0" xfId="0">
      <alignment vertical="top"/>
    </xf>
    <xf numFmtId="0" fontId="20" fillId="0" borderId="0" applyAlignment="1" pivotButton="0" quotePrefix="0" xfId="0">
      <alignment horizontal="right" vertical="top"/>
    </xf>
    <xf numFmtId="0" fontId="25" fillId="0" borderId="7" applyAlignment="1" pivotButton="0" quotePrefix="0" xfId="0">
      <alignment horizontal="left" vertical="top" indent="1"/>
    </xf>
    <xf numFmtId="0" fontId="20" fillId="0" borderId="7" applyAlignment="1" pivotButton="0" quotePrefix="0" xfId="0">
      <alignment horizontal="left" vertical="center" indent="1"/>
    </xf>
    <xf numFmtId="0" fontId="20" fillId="0" borderId="7" applyAlignment="1" pivotButton="0" quotePrefix="0" xfId="0">
      <alignment vertical="center" wrapText="1"/>
    </xf>
    <xf numFmtId="0" fontId="25" fillId="20" borderId="0" pivotButton="0" quotePrefix="0" xfId="0"/>
    <xf numFmtId="0" fontId="13" fillId="0" borderId="0" applyAlignment="1" pivotButton="0" quotePrefix="1" xfId="0">
      <alignment horizontal="left" vertical="center" wrapText="1"/>
    </xf>
    <xf numFmtId="0" fontId="25" fillId="0" borderId="7" applyAlignment="1" pivotButton="0" quotePrefix="0" xfId="38">
      <alignment horizontal="centerContinuous" vertical="center" wrapText="1"/>
    </xf>
    <xf numFmtId="0" fontId="25" fillId="0" borderId="8" applyAlignment="1" pivotButton="0" quotePrefix="0" xfId="38">
      <alignment horizontal="centerContinuous" vertical="center"/>
    </xf>
    <xf numFmtId="0" fontId="25" fillId="0" borderId="7" applyAlignment="1" pivotButton="0" quotePrefix="0" xfId="38">
      <alignment horizontal="center" vertical="center" wrapText="1"/>
    </xf>
    <xf numFmtId="0" fontId="24" fillId="2" borderId="13" applyAlignment="1" pivotButton="0" quotePrefix="0" xfId="0">
      <alignment vertical="center"/>
    </xf>
    <xf numFmtId="0" fontId="44" fillId="3" borderId="7" applyAlignment="1" pivotButton="0" quotePrefix="0" xfId="0">
      <alignment vertical="center"/>
    </xf>
    <xf numFmtId="0" fontId="13" fillId="0" borderId="13" applyAlignment="1" pivotButton="0" quotePrefix="0" xfId="0">
      <alignment horizontal="left" vertical="center" wrapText="1" indent="1"/>
    </xf>
    <xf numFmtId="169" fontId="13" fillId="7" borderId="12" applyAlignment="1" applyProtection="1" pivotButton="0" quotePrefix="0" xfId="22">
      <alignment vertical="center" wrapText="1"/>
      <protection locked="0" hidden="0"/>
    </xf>
    <xf numFmtId="0" fontId="13" fillId="0" borderId="13" applyAlignment="1" pivotButton="0" quotePrefix="0" xfId="0">
      <alignment horizontal="left" vertical="center" wrapText="1" indent="2"/>
    </xf>
    <xf numFmtId="0" fontId="13" fillId="0" borderId="13" applyAlignment="1" pivotButton="0" quotePrefix="0" xfId="0">
      <alignment horizontal="left" vertical="center" indent="1"/>
    </xf>
    <xf numFmtId="169" fontId="13" fillId="7" borderId="9" applyAlignment="1" applyProtection="1" pivotButton="0" quotePrefix="0" xfId="22">
      <alignment vertical="center" wrapText="1"/>
      <protection locked="0" hidden="0"/>
    </xf>
    <xf numFmtId="0" fontId="20" fillId="0" borderId="13" applyAlignment="1" pivotButton="0" quotePrefix="0" xfId="0">
      <alignment horizontal="left" vertical="center" indent="1"/>
    </xf>
    <xf numFmtId="0" fontId="24" fillId="2" borderId="49" applyAlignment="1" pivotButton="0" quotePrefix="0" xfId="0">
      <alignment vertical="center"/>
    </xf>
    <xf numFmtId="0" fontId="20" fillId="0" borderId="13" applyAlignment="1" pivotButton="0" quotePrefix="0" xfId="0">
      <alignment horizontal="left" vertical="center" wrapText="1" indent="1"/>
    </xf>
    <xf numFmtId="0" fontId="25" fillId="0" borderId="49" applyAlignment="1" pivotButton="0" quotePrefix="0" xfId="0">
      <alignment vertical="center"/>
    </xf>
    <xf numFmtId="0" fontId="25" fillId="0" borderId="7" applyAlignment="1" pivotButton="0" quotePrefix="0" xfId="0">
      <alignment horizontal="left" vertical="center" indent="1"/>
    </xf>
    <xf numFmtId="0" fontId="25" fillId="0" borderId="13" applyAlignment="1" pivotButton="0" quotePrefix="0" xfId="0">
      <alignment vertical="center"/>
    </xf>
    <xf numFmtId="0" fontId="13" fillId="0" borderId="49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/>
    </xf>
    <xf numFmtId="0" fontId="49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vertical="center"/>
    </xf>
    <xf numFmtId="0" fontId="25" fillId="0" borderId="7" applyAlignment="1" pivotButton="0" quotePrefix="0" xfId="0">
      <alignment horizontal="left" vertical="center" wrapText="1" indent="1"/>
    </xf>
    <xf numFmtId="0" fontId="26" fillId="0" borderId="13" applyAlignment="1" pivotButton="0" quotePrefix="0" xfId="0">
      <alignment horizontal="left" vertical="center" wrapText="1" indent="2"/>
    </xf>
    <xf numFmtId="0" fontId="13" fillId="0" borderId="11" applyAlignment="1" pivotButton="0" quotePrefix="0" xfId="0">
      <alignment horizontal="left" vertical="center" indent="1"/>
    </xf>
    <xf numFmtId="0" fontId="30" fillId="5" borderId="7" applyAlignment="1" pivotButton="0" quotePrefix="0" xfId="0">
      <alignment horizontal="left" vertical="center"/>
    </xf>
    <xf numFmtId="171" fontId="30" fillId="5" borderId="7" applyAlignment="1" pivotButton="0" quotePrefix="0" xfId="0">
      <alignment horizontal="left" vertical="center"/>
    </xf>
    <xf numFmtId="0" fontId="30" fillId="3" borderId="7" applyAlignment="1" pivotButton="0" quotePrefix="0" xfId="0">
      <alignment horizontal="left" vertical="center"/>
    </xf>
    <xf numFmtId="0" fontId="31" fillId="0" borderId="27" applyAlignment="1" pivotButton="0" quotePrefix="0" xfId="0">
      <alignment horizontal="center" vertical="center"/>
    </xf>
    <xf numFmtId="0" fontId="33" fillId="3" borderId="0" pivotButton="0" quotePrefix="0" xfId="0"/>
    <xf numFmtId="0" fontId="13" fillId="0" borderId="33" applyAlignment="1" pivotButton="0" quotePrefix="0" xfId="0">
      <alignment horizontal="right" vertical="center" wrapText="1"/>
    </xf>
    <xf numFmtId="0" fontId="44" fillId="0" borderId="32" applyAlignment="1" pivotButton="0" quotePrefix="0" xfId="0">
      <alignment vertical="center" wrapText="1"/>
    </xf>
    <xf numFmtId="0" fontId="40" fillId="3" borderId="32" applyAlignment="1" pivotButton="0" quotePrefix="0" xfId="0">
      <alignment vertical="center" wrapText="1"/>
    </xf>
    <xf numFmtId="0" fontId="13" fillId="4" borderId="27" applyAlignment="1" applyProtection="1" pivotButton="0" quotePrefix="0" xfId="22">
      <alignment horizontal="center" wrapText="1"/>
      <protection locked="0" hidden="0"/>
    </xf>
    <xf numFmtId="0" fontId="13" fillId="0" borderId="32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0" fontId="49" fillId="0" borderId="32" applyAlignment="1" pivotButton="0" quotePrefix="0" xfId="0">
      <alignment vertical="center" wrapText="1"/>
    </xf>
    <xf numFmtId="0" fontId="32" fillId="3" borderId="32" applyAlignment="1" pivotButton="0" quotePrefix="0" xfId="0">
      <alignment vertical="center" wrapText="1"/>
    </xf>
    <xf numFmtId="0" fontId="13" fillId="7" borderId="27" applyAlignment="1" applyProtection="1" pivotButton="0" quotePrefix="0" xfId="22">
      <alignment horizontal="center" wrapText="1"/>
      <protection locked="0" hidden="0"/>
    </xf>
    <xf numFmtId="171" fontId="13" fillId="10" borderId="27" applyAlignment="1" applyProtection="1" pivotButton="0" quotePrefix="0" xfId="22">
      <alignment horizontal="center" wrapText="1"/>
      <protection locked="0" hidden="0"/>
    </xf>
    <xf numFmtId="0" fontId="13" fillId="0" borderId="35" applyAlignment="1" pivotButton="0" quotePrefix="0" xfId="0">
      <alignment horizontal="right" vertical="center" wrapText="1"/>
    </xf>
    <xf numFmtId="0" fontId="13" fillId="0" borderId="35" applyAlignment="1" pivotButton="0" quotePrefix="0" xfId="0">
      <alignment vertical="center" wrapText="1"/>
    </xf>
    <xf numFmtId="0" fontId="40" fillId="3" borderId="35" applyAlignment="1" pivotButton="0" quotePrefix="0" xfId="0">
      <alignment vertical="center" wrapText="1"/>
    </xf>
    <xf numFmtId="0" fontId="13" fillId="0" borderId="27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40" fillId="3" borderId="27" applyAlignment="1" pivotButton="0" quotePrefix="0" xfId="0">
      <alignment vertical="center" wrapText="1"/>
    </xf>
    <xf numFmtId="0" fontId="49" fillId="0" borderId="33" applyAlignment="1" pivotButton="0" quotePrefix="0" xfId="0">
      <alignment vertical="center" wrapText="1"/>
    </xf>
    <xf numFmtId="0" fontId="66" fillId="0" borderId="33" applyAlignment="1" pivotButton="0" quotePrefix="0" xfId="0">
      <alignment vertical="center" wrapText="1"/>
    </xf>
    <xf numFmtId="0" fontId="26" fillId="3" borderId="0" pivotButton="0" quotePrefix="0" xfId="0"/>
    <xf numFmtId="0" fontId="20" fillId="0" borderId="0" applyAlignment="1" pivotButton="0" quotePrefix="0" xfId="0">
      <alignment vertical="center" wrapText="1"/>
    </xf>
    <xf numFmtId="189" fontId="20" fillId="5" borderId="7" applyAlignment="1" pivotButton="0" quotePrefix="0" xfId="0">
      <alignment horizontal="center" vertical="center"/>
    </xf>
    <xf numFmtId="165" fontId="25" fillId="5" borderId="7" applyAlignment="1" pivotButton="0" quotePrefix="0" xfId="0">
      <alignment vertical="center"/>
    </xf>
    <xf numFmtId="165" fontId="25" fillId="18" borderId="7" applyAlignment="1" pivotButton="0" quotePrefix="0" xfId="0">
      <alignment vertical="center"/>
    </xf>
    <xf numFmtId="182" fontId="25" fillId="5" borderId="7" applyAlignment="1" pivotButton="0" quotePrefix="0" xfId="0">
      <alignment vertical="center"/>
    </xf>
    <xf numFmtId="165" fontId="25" fillId="5" borderId="7" applyAlignment="1" pivotButton="0" quotePrefix="1" xfId="0">
      <alignment vertical="center"/>
    </xf>
    <xf numFmtId="0" fontId="13" fillId="5" borderId="7" applyAlignment="1" pivotButton="0" quotePrefix="0" xfId="0">
      <alignment horizontal="center"/>
    </xf>
    <xf numFmtId="165" fontId="13" fillId="5" borderId="7" applyAlignment="1" pivotButton="0" quotePrefix="1" xfId="0">
      <alignment vertical="center"/>
    </xf>
    <xf numFmtId="165" fontId="13" fillId="18" borderId="7" applyAlignment="1" pivotButton="0" quotePrefix="0" xfId="0">
      <alignment vertical="center"/>
    </xf>
    <xf numFmtId="182" fontId="13" fillId="5" borderId="7" applyAlignment="1" pivotButton="0" quotePrefix="0" xfId="0">
      <alignment vertical="center"/>
    </xf>
    <xf numFmtId="165" fontId="13" fillId="0" borderId="7" applyAlignment="1" pivotButton="0" quotePrefix="0" xfId="0">
      <alignment vertical="center"/>
    </xf>
    <xf numFmtId="182" fontId="13" fillId="0" borderId="7" applyAlignment="1" pivotButton="0" quotePrefix="0" xfId="0">
      <alignment vertical="center"/>
    </xf>
    <xf numFmtId="0" fontId="13" fillId="2" borderId="7" applyAlignment="1" pivotButton="0" quotePrefix="0" xfId="0">
      <alignment vertical="center" wrapText="1"/>
    </xf>
    <xf numFmtId="0" fontId="47" fillId="0" borderId="0" pivotButton="0" quotePrefix="0" xfId="0"/>
    <xf numFmtId="0" fontId="13" fillId="0" borderId="7" applyAlignment="1" pivotButton="0" quotePrefix="0" xfId="0">
      <alignment horizontal="left"/>
    </xf>
    <xf numFmtId="189" fontId="20" fillId="3" borderId="7" applyAlignment="1" pivotButton="0" quotePrefix="0" xfId="0">
      <alignment horizontal="center" vertical="center"/>
    </xf>
    <xf numFmtId="182" fontId="13" fillId="18" borderId="7" applyAlignment="1" pivotButton="0" quotePrefix="0" xfId="0">
      <alignment vertical="center"/>
    </xf>
    <xf numFmtId="182" fontId="25" fillId="18" borderId="7" applyAlignment="1" pivotButton="0" quotePrefix="0" xfId="0">
      <alignment vertical="center"/>
    </xf>
    <xf numFmtId="0" fontId="25" fillId="2" borderId="7" applyAlignment="1" pivotButton="0" quotePrefix="0" xfId="0">
      <alignment vertical="center"/>
    </xf>
    <xf numFmtId="165" fontId="13" fillId="2" borderId="7" applyAlignment="1" pivotButton="0" quotePrefix="0" xfId="0">
      <alignment vertical="center"/>
    </xf>
    <xf numFmtId="0" fontId="24" fillId="0" borderId="7" applyAlignment="1" pivotButton="0" quotePrefix="0" xfId="0">
      <alignment vertical="center" wrapText="1"/>
    </xf>
    <xf numFmtId="0" fontId="13" fillId="5" borderId="0" applyAlignment="1" pivotButton="0" quotePrefix="0" xfId="0">
      <alignment horizontal="center"/>
    </xf>
    <xf numFmtId="0" fontId="20" fillId="0" borderId="7" applyAlignment="1" pivotButton="0" quotePrefix="0" xfId="0">
      <alignment horizontal="left" vertical="center" wrapText="1"/>
    </xf>
    <xf numFmtId="0" fontId="13" fillId="0" borderId="7" applyAlignment="1" pivotButton="0" quotePrefix="0" xfId="23">
      <alignment wrapText="1"/>
    </xf>
    <xf numFmtId="0" fontId="31" fillId="21" borderId="0" applyAlignment="1" pivotButton="0" quotePrefix="0" xfId="23">
      <alignment horizontal="left" vertical="center"/>
    </xf>
    <xf numFmtId="0" fontId="54" fillId="21" borderId="0" pivotButton="0" quotePrefix="0" xfId="23"/>
    <xf numFmtId="0" fontId="57" fillId="0" borderId="0" pivotButton="0" quotePrefix="0" xfId="0"/>
    <xf numFmtId="0" fontId="31" fillId="21" borderId="0" pivotButton="0" quotePrefix="0" xfId="23"/>
    <xf numFmtId="0" fontId="31" fillId="0" borderId="0" pivotButton="0" quotePrefix="0" xfId="23"/>
    <xf numFmtId="0" fontId="67" fillId="0" borderId="0" pivotButton="0" quotePrefix="0" xfId="0"/>
    <xf numFmtId="0" fontId="13" fillId="0" borderId="49" applyAlignment="1" pivotButton="0" quotePrefix="0" xfId="0">
      <alignment vertical="center"/>
    </xf>
    <xf numFmtId="0" fontId="13" fillId="0" borderId="11" applyAlignment="1" pivotButton="0" quotePrefix="0" xfId="0">
      <alignment vertical="center"/>
    </xf>
    <xf numFmtId="0" fontId="25" fillId="2" borderId="53" applyAlignment="1" pivotButton="0" quotePrefix="0" xfId="17">
      <alignment horizontal="center" vertical="center" wrapText="1"/>
    </xf>
    <xf numFmtId="0" fontId="25" fillId="2" borderId="50" applyAlignment="1" pivotButton="0" quotePrefix="0" xfId="17">
      <alignment horizontal="center" vertical="center" wrapText="1"/>
    </xf>
    <xf numFmtId="0" fontId="25" fillId="2" borderId="12" applyAlignment="1" pivotButton="0" quotePrefix="0" xfId="17">
      <alignment horizontal="center" vertical="center" wrapText="1"/>
    </xf>
    <xf numFmtId="0" fontId="13" fillId="0" borderId="51" applyAlignment="1" pivotButton="0" quotePrefix="0" xfId="17">
      <alignment horizontal="left" vertical="center" indent="2"/>
    </xf>
    <xf numFmtId="0" fontId="13" fillId="0" borderId="53" applyAlignment="1" pivotButton="0" quotePrefix="0" xfId="17">
      <alignment horizontal="left" indent="2"/>
    </xf>
    <xf numFmtId="0" fontId="13" fillId="0" borderId="52" applyAlignment="1" pivotButton="0" quotePrefix="0" xfId="17">
      <alignment horizontal="left" vertical="center" indent="2"/>
    </xf>
    <xf numFmtId="0" fontId="13" fillId="0" borderId="54" applyAlignment="1" pivotButton="0" quotePrefix="0" xfId="17">
      <alignment horizontal="left" indent="2"/>
    </xf>
    <xf numFmtId="0" fontId="13" fillId="0" borderId="50" applyAlignment="1" pivotButton="0" quotePrefix="0" xfId="17">
      <alignment horizontal="left" vertical="center" indent="2"/>
    </xf>
    <xf numFmtId="0" fontId="13" fillId="0" borderId="12" applyAlignment="1" pivotButton="0" quotePrefix="0" xfId="17">
      <alignment horizontal="left" indent="2"/>
    </xf>
    <xf numFmtId="0" fontId="25" fillId="0" borderId="7" applyAlignment="1" pivotButton="0" quotePrefix="0" xfId="5">
      <alignment horizontal="center" vertical="center" wrapText="1"/>
    </xf>
    <xf numFmtId="3" fontId="25" fillId="5" borderId="7" applyAlignment="1" pivotButton="0" quotePrefix="0" xfId="5">
      <alignment horizontal="center" vertical="center" wrapText="1"/>
    </xf>
    <xf numFmtId="0" fontId="20" fillId="0" borderId="49" applyAlignment="1" pivotButton="0" quotePrefix="0" xfId="28">
      <alignment horizontal="left" vertical="center"/>
    </xf>
    <xf numFmtId="0" fontId="20" fillId="0" borderId="13" applyAlignment="1" pivotButton="0" quotePrefix="0" xfId="28">
      <alignment horizontal="left" vertical="center"/>
    </xf>
    <xf numFmtId="3" fontId="20" fillId="5" borderId="13" applyAlignment="1" pivotButton="0" quotePrefix="0" xfId="28">
      <alignment horizontal="left" vertical="center"/>
    </xf>
    <xf numFmtId="3" fontId="20" fillId="5" borderId="11" applyAlignment="1" pivotButton="0" quotePrefix="0" xfId="28">
      <alignment horizontal="left" vertical="center"/>
    </xf>
    <xf numFmtId="0" fontId="13" fillId="0" borderId="51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0" fontId="50" fillId="0" borderId="0" pivotButton="0" quotePrefix="0" xfId="0"/>
    <xf numFmtId="165" fontId="24" fillId="5" borderId="11" applyAlignment="1" pivotButton="0" quotePrefix="0" xfId="0">
      <alignment vertical="center"/>
    </xf>
    <xf numFmtId="165" fontId="20" fillId="5" borderId="11" applyAlignment="1" pivotButton="0" quotePrefix="0" xfId="0">
      <alignment vertical="center"/>
    </xf>
    <xf numFmtId="165" fontId="20" fillId="3" borderId="11" applyAlignment="1" pivotButton="0" quotePrefix="0" xfId="0">
      <alignment vertical="center"/>
    </xf>
    <xf numFmtId="165" fontId="20" fillId="3" borderId="7" applyAlignment="1" pivotButton="0" quotePrefix="0" xfId="0">
      <alignment vertical="center"/>
    </xf>
    <xf numFmtId="10" fontId="25" fillId="0" borderId="7" applyAlignment="1" pivotButton="0" quotePrefix="0" xfId="17">
      <alignment horizontal="center" vertical="center" wrapText="1"/>
    </xf>
    <xf numFmtId="10" fontId="25" fillId="0" borderId="8" applyAlignment="1" pivotButton="0" quotePrefix="0" xfId="17">
      <alignment horizontal="center" vertical="center" wrapText="1"/>
    </xf>
    <xf numFmtId="0" fontId="25" fillId="0" borderId="13" applyAlignment="1" pivotButton="0" quotePrefix="0" xfId="17">
      <alignment vertical="center" wrapText="1"/>
    </xf>
    <xf numFmtId="0" fontId="25" fillId="0" borderId="11" applyAlignment="1" pivotButton="0" quotePrefix="0" xfId="17">
      <alignment vertical="center" wrapText="1"/>
    </xf>
    <xf numFmtId="0" fontId="13" fillId="0" borderId="0" applyAlignment="1" pivotButton="0" quotePrefix="0" xfId="0">
      <alignment horizontal="center"/>
    </xf>
    <xf numFmtId="169" fontId="20" fillId="0" borderId="0" pivotButton="0" quotePrefix="0" xfId="0"/>
    <xf numFmtId="0" fontId="24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17">
      <alignment horizontal="left" indent="2"/>
    </xf>
    <xf numFmtId="165" fontId="20" fillId="5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4" fillId="0" borderId="11" applyAlignment="1" pivotButton="0" quotePrefix="0" xfId="0">
      <alignment vertical="center" wrapText="1"/>
    </xf>
    <xf numFmtId="0" fontId="13" fillId="18" borderId="7" applyAlignment="1" pivotButton="0" quotePrefix="0" xfId="0">
      <alignment vertical="center"/>
    </xf>
    <xf numFmtId="165" fontId="20" fillId="6" borderId="7" applyAlignment="1" pivotButton="0" quotePrefix="0" xfId="35">
      <alignment vertical="center"/>
    </xf>
    <xf numFmtId="0" fontId="24" fillId="2" borderId="7" pivotButton="0" quotePrefix="0" xfId="0"/>
    <xf numFmtId="38" fontId="20" fillId="5" borderId="7" applyAlignment="1" pivotButton="0" quotePrefix="0" xfId="0">
      <alignment vertical="center"/>
    </xf>
    <xf numFmtId="0" fontId="20" fillId="5" borderId="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0" fontId="25" fillId="0" borderId="11" applyAlignment="1" pivotButton="0" quotePrefix="0" xfId="0">
      <alignment vertical="center" wrapText="1"/>
    </xf>
    <xf numFmtId="0" fontId="13" fillId="18" borderId="7" applyAlignment="1" pivotButton="0" quotePrefix="0" xfId="0">
      <alignment vertical="center" wrapText="1"/>
    </xf>
    <xf numFmtId="38" fontId="20" fillId="0" borderId="0" pivotButton="0" quotePrefix="0" xfId="0"/>
    <xf numFmtId="189" fontId="20" fillId="5" borderId="7" applyAlignment="1" pivotButton="0" quotePrefix="0" xfId="0">
      <alignment vertical="center"/>
    </xf>
    <xf numFmtId="0" fontId="13" fillId="5" borderId="7" applyAlignment="1" pivotButton="0" quotePrefix="0" xfId="0">
      <alignment horizontal="center" vertical="center"/>
    </xf>
    <xf numFmtId="0" fontId="13" fillId="5" borderId="7" applyAlignment="1" pivotButton="0" quotePrefix="0" xfId="0">
      <alignment vertical="center" wrapText="1"/>
    </xf>
    <xf numFmtId="0" fontId="13" fillId="5" borderId="7" applyAlignment="1" pivotButton="0" quotePrefix="0" xfId="0">
      <alignment vertical="center"/>
    </xf>
    <xf numFmtId="0" fontId="40" fillId="0" borderId="0" pivotButton="0" quotePrefix="0" xfId="23"/>
    <xf numFmtId="0" fontId="13" fillId="0" borderId="0" applyAlignment="1" pivotButton="0" quotePrefix="0" xfId="39">
      <alignment horizontal="left" vertical="top"/>
    </xf>
    <xf numFmtId="0" fontId="45" fillId="0" borderId="0" applyAlignment="1" pivotButton="0" quotePrefix="0" xfId="23">
      <alignment horizontal="center" vertical="center"/>
    </xf>
    <xf numFmtId="0" fontId="26" fillId="0" borderId="0" pivotButton="0" quotePrefix="0" xfId="39"/>
    <xf numFmtId="0" fontId="25" fillId="0" borderId="0" applyAlignment="1" pivotButton="0" quotePrefix="0" xfId="39">
      <alignment horizontal="center" vertical="center" wrapText="1"/>
    </xf>
    <xf numFmtId="0" fontId="13" fillId="0" borderId="0" applyAlignment="1" pivotButton="0" quotePrefix="0" xfId="17">
      <alignment horizontal="left" indent="2"/>
    </xf>
    <xf numFmtId="0" fontId="13" fillId="4" borderId="7" applyAlignment="1" applyProtection="1" pivotButton="0" quotePrefix="0" xfId="13">
      <alignment horizontal="right" wrapText="1"/>
      <protection locked="0" hidden="0"/>
    </xf>
    <xf numFmtId="182" fontId="20" fillId="3" borderId="7" applyAlignment="1" pivotButton="0" quotePrefix="0" xfId="0">
      <alignment horizontal="left" vertical="center"/>
    </xf>
    <xf numFmtId="0" fontId="70" fillId="0" borderId="0" applyAlignment="1" pivotButton="0" quotePrefix="0" xfId="17">
      <alignment horizontal="left" indent="2"/>
    </xf>
    <xf numFmtId="165" fontId="20" fillId="3" borderId="7" applyAlignment="1" pivotButton="0" quotePrefix="0" xfId="0">
      <alignment horizontal="left" vertical="center"/>
    </xf>
    <xf numFmtId="165" fontId="13" fillId="0" borderId="0" applyAlignment="1" pivotButton="0" quotePrefix="0" xfId="17">
      <alignment horizontal="center" vertical="center"/>
    </xf>
    <xf numFmtId="182" fontId="13" fillId="0" borderId="0" applyAlignment="1" pivotButton="0" quotePrefix="0" xfId="17">
      <alignment horizontal="center" vertical="center"/>
    </xf>
    <xf numFmtId="0" fontId="13" fillId="2" borderId="8" applyAlignment="1" pivotButton="0" quotePrefix="0" xfId="39">
      <alignment horizontal="center" vertical="center"/>
    </xf>
    <xf numFmtId="0" fontId="13" fillId="2" borderId="7" applyAlignment="1" pivotButton="0" quotePrefix="0" xfId="39">
      <alignment horizontal="center" vertical="center"/>
    </xf>
    <xf numFmtId="0" fontId="13" fillId="2" borderId="9" applyAlignment="1" pivotButton="0" quotePrefix="0" xfId="39">
      <alignment horizontal="center" vertical="center"/>
    </xf>
    <xf numFmtId="0" fontId="13" fillId="0" borderId="50" applyAlignment="1" pivotButton="0" quotePrefix="0" xfId="23">
      <alignment horizontal="left" vertical="center" wrapText="1"/>
    </xf>
    <xf numFmtId="0" fontId="20" fillId="3" borderId="50" applyAlignment="1" pivotButton="0" quotePrefix="0" xfId="0">
      <alignment vertical="center"/>
    </xf>
    <xf numFmtId="0" fontId="20" fillId="3" borderId="11" applyAlignment="1" pivotButton="0" quotePrefix="0" xfId="0">
      <alignment vertical="center"/>
    </xf>
    <xf numFmtId="0" fontId="13" fillId="3" borderId="50" applyAlignment="1" pivotButton="0" quotePrefix="0" xfId="0">
      <alignment vertical="center"/>
    </xf>
    <xf numFmtId="0" fontId="13" fillId="3" borderId="11" applyAlignment="1" pivotButton="0" quotePrefix="0" xfId="0">
      <alignment vertical="center"/>
    </xf>
    <xf numFmtId="0" fontId="13" fillId="3" borderId="50" applyAlignment="1" pivotButton="0" quotePrefix="0" xfId="23">
      <alignment vertical="center"/>
    </xf>
    <xf numFmtId="0" fontId="13" fillId="0" borderId="0" applyAlignment="1" pivotButton="0" quotePrefix="0" xfId="23">
      <alignment horizontal="left" wrapText="1" indent="1"/>
    </xf>
    <xf numFmtId="0" fontId="25" fillId="0" borderId="0" applyAlignment="1" pivotButton="0" quotePrefix="0" xfId="0">
      <alignment horizontal="left" vertical="center"/>
    </xf>
    <xf numFmtId="0" fontId="20" fillId="0" borderId="10" applyAlignment="1" pivotButton="0" quotePrefix="0" xfId="0">
      <alignment horizontal="right" vertical="center"/>
    </xf>
    <xf numFmtId="2" fontId="20" fillId="5" borderId="49" applyAlignment="1" pivotButton="0" quotePrefix="0" xfId="0">
      <alignment vertical="center"/>
    </xf>
    <xf numFmtId="2" fontId="20" fillId="5" borderId="13" applyAlignment="1" pivotButton="0" quotePrefix="0" xfId="0">
      <alignment vertical="center"/>
    </xf>
    <xf numFmtId="0" fontId="20" fillId="0" borderId="6" applyAlignment="1" pivotButton="0" quotePrefix="0" xfId="0">
      <alignment horizontal="right" vertical="center"/>
    </xf>
    <xf numFmtId="2" fontId="20" fillId="5" borderId="11" applyAlignment="1" pivotButton="0" quotePrefix="0" xfId="0">
      <alignment vertical="center"/>
    </xf>
    <xf numFmtId="0" fontId="20" fillId="3" borderId="13" applyAlignment="1" pivotButton="0" quotePrefix="0" xfId="0">
      <alignment vertical="center"/>
    </xf>
    <xf numFmtId="2" fontId="20" fillId="0" borderId="0" pivotButton="0" quotePrefix="0" xfId="0"/>
    <xf numFmtId="0" fontId="13" fillId="0" borderId="0" applyAlignment="1" pivotButton="0" quotePrefix="0" xfId="39">
      <alignment vertical="center"/>
    </xf>
    <xf numFmtId="0" fontId="13" fillId="20" borderId="0" pivotButton="0" quotePrefix="0" xfId="23"/>
    <xf numFmtId="182" fontId="20" fillId="0" borderId="0" pivotButton="0" quotePrefix="0" xfId="0"/>
    <xf numFmtId="0" fontId="13" fillId="0" borderId="0" applyAlignment="1" pivotButton="0" quotePrefix="0" xfId="23">
      <alignment horizontal="left"/>
    </xf>
    <xf numFmtId="182" fontId="25" fillId="0" borderId="0" applyAlignment="1" pivotButton="0" quotePrefix="0" xfId="17">
      <alignment horizontal="center" vertical="center" wrapText="1"/>
    </xf>
    <xf numFmtId="3" fontId="25" fillId="0" borderId="0" pivotButton="0" quotePrefix="0" xfId="23"/>
    <xf numFmtId="0" fontId="13" fillId="3" borderId="7" applyAlignment="1" pivotButton="0" quotePrefix="0" xfId="0">
      <alignment vertical="center"/>
    </xf>
    <xf numFmtId="0" fontId="13" fillId="0" borderId="54" applyAlignment="1" pivotButton="0" quotePrefix="0" xfId="17">
      <alignment horizontal="left" vertical="center" indent="2"/>
    </xf>
    <xf numFmtId="0" fontId="13" fillId="3" borderId="8" applyAlignment="1" pivotButton="0" quotePrefix="0" xfId="0">
      <alignment vertical="center"/>
    </xf>
    <xf numFmtId="182" fontId="13" fillId="0" borderId="0" applyAlignment="1" pivotButton="0" quotePrefix="0" xfId="17">
      <alignment vertical="center"/>
    </xf>
    <xf numFmtId="0" fontId="13" fillId="0" borderId="54" pivotButton="0" quotePrefix="0" xfId="23"/>
    <xf numFmtId="0" fontId="13" fillId="0" borderId="12" pivotButton="0" quotePrefix="0" xfId="23"/>
    <xf numFmtId="182" fontId="13" fillId="0" borderId="0" pivotButton="0" quotePrefix="0" xfId="17"/>
    <xf numFmtId="0" fontId="24" fillId="28" borderId="0" pivotButton="0" quotePrefix="0" xfId="0"/>
    <xf numFmtId="0" fontId="43" fillId="28" borderId="0" pivotButton="0" quotePrefix="0" xfId="0"/>
    <xf numFmtId="0" fontId="25" fillId="0" borderId="0" applyAlignment="1" pivotButton="0" quotePrefix="0" xfId="23">
      <alignment vertical="center"/>
    </xf>
    <xf numFmtId="0" fontId="13" fillId="2" borderId="0" pivotButton="0" quotePrefix="0" xfId="23"/>
    <xf numFmtId="0" fontId="13" fillId="2" borderId="51" applyAlignment="1" pivotButton="0" quotePrefix="0" xfId="0">
      <alignment vertical="center"/>
    </xf>
    <xf numFmtId="0" fontId="13" fillId="2" borderId="10" applyAlignment="1" pivotButton="0" quotePrefix="0" xfId="23">
      <alignment vertical="center"/>
    </xf>
    <xf numFmtId="0" fontId="13" fillId="2" borderId="53" pivotButton="0" quotePrefix="0" xfId="23"/>
    <xf numFmtId="0" fontId="20" fillId="0" borderId="9" applyAlignment="1" pivotButton="0" quotePrefix="0" xfId="0">
      <alignment horizontal="center" vertical="center" wrapText="1"/>
    </xf>
    <xf numFmtId="0" fontId="26" fillId="2" borderId="50" applyAlignment="1" pivotButton="0" quotePrefix="0" xfId="23">
      <alignment vertical="center"/>
    </xf>
    <xf numFmtId="0" fontId="13" fillId="2" borderId="6" applyAlignment="1" pivotButton="0" quotePrefix="0" xfId="23">
      <alignment vertical="center"/>
    </xf>
    <xf numFmtId="0" fontId="13" fillId="2" borderId="12" pivotButton="0" quotePrefix="0" xfId="23"/>
    <xf numFmtId="0" fontId="25" fillId="0" borderId="9" applyAlignment="1" pivotButton="0" quotePrefix="0" xfId="0">
      <alignment horizontal="center" vertical="center" wrapText="1"/>
    </xf>
    <xf numFmtId="167" fontId="25" fillId="0" borderId="0" applyAlignment="1" pivotButton="0" quotePrefix="0" xfId="5">
      <alignment vertical="top"/>
    </xf>
    <xf numFmtId="0" fontId="25" fillId="0" borderId="0" applyAlignment="1" pivotButton="0" quotePrefix="0" xfId="23">
      <alignment horizontal="center" vertical="center" wrapText="1"/>
    </xf>
    <xf numFmtId="0" fontId="13" fillId="0" borderId="0" applyAlignment="1" pivotButton="0" quotePrefix="0" xfId="23">
      <alignment horizontal="center"/>
    </xf>
    <xf numFmtId="0" fontId="13" fillId="0" borderId="0" applyAlignment="1" pivotButton="0" quotePrefix="0" xfId="23">
      <alignment horizontal="left" vertical="center"/>
    </xf>
    <xf numFmtId="0" fontId="13" fillId="0" borderId="0" applyAlignment="1" pivotButton="0" quotePrefix="0" xfId="39">
      <alignment horizontal="left" vertical="top" wrapText="1"/>
    </xf>
    <xf numFmtId="0" fontId="20" fillId="2" borderId="7" applyAlignment="1" pivotButton="0" quotePrefix="0" xfId="0">
      <alignment horizontal="center" vertical="center" wrapText="1"/>
    </xf>
    <xf numFmtId="0" fontId="25" fillId="0" borderId="49" applyAlignment="1" pivotButton="0" quotePrefix="0" xfId="5">
      <alignment horizontal="center" vertical="center" wrapText="1"/>
    </xf>
    <xf numFmtId="0" fontId="20" fillId="2" borderId="49" applyAlignment="1" pivotButton="0" quotePrefix="0" xfId="28">
      <alignment horizontal="center"/>
    </xf>
    <xf numFmtId="169" fontId="20" fillId="5" borderId="49" applyAlignment="1" pivotButton="0" quotePrefix="0" xfId="28">
      <alignment horizontal="center" vertical="center"/>
    </xf>
    <xf numFmtId="0" fontId="20" fillId="2" borderId="13" applyAlignment="1" pivotButton="0" quotePrefix="0" xfId="28">
      <alignment horizontal="center"/>
    </xf>
    <xf numFmtId="169" fontId="20" fillId="5" borderId="13" applyAlignment="1" pivotButton="0" quotePrefix="0" xfId="28">
      <alignment horizontal="center" vertical="center"/>
    </xf>
    <xf numFmtId="169" fontId="20" fillId="5" borderId="11" applyAlignment="1" pivotButton="0" quotePrefix="0" xfId="28">
      <alignment horizontal="center" vertical="center"/>
    </xf>
    <xf numFmtId="0" fontId="25" fillId="0" borderId="0" applyAlignment="1" pivotButton="0" quotePrefix="0" xfId="5">
      <alignment vertical="center" wrapText="1"/>
    </xf>
    <xf numFmtId="0" fontId="25" fillId="0" borderId="0" applyAlignment="1" pivotButton="0" quotePrefix="0" xfId="5">
      <alignment horizontal="center" vertical="center" wrapText="1"/>
    </xf>
    <xf numFmtId="0" fontId="20" fillId="2" borderId="49" applyAlignment="1" pivotButton="0" quotePrefix="0" xfId="28">
      <alignment horizontal="right"/>
    </xf>
    <xf numFmtId="0" fontId="20" fillId="2" borderId="11" applyAlignment="1" pivotButton="0" quotePrefix="0" xfId="28">
      <alignment horizontal="center"/>
    </xf>
    <xf numFmtId="0" fontId="25" fillId="5" borderId="11" applyAlignment="1" pivotButton="0" quotePrefix="0" xfId="5">
      <alignment horizontal="center" vertical="center" wrapText="1"/>
    </xf>
    <xf numFmtId="0" fontId="20" fillId="2" borderId="11" applyAlignment="1" pivotButton="0" quotePrefix="0" xfId="28">
      <alignment horizontal="right"/>
    </xf>
    <xf numFmtId="0" fontId="24" fillId="2" borderId="8" applyAlignment="1" pivotButton="0" quotePrefix="0" xfId="28">
      <alignment horizontal="center"/>
    </xf>
    <xf numFmtId="0" fontId="24" fillId="0" borderId="9" applyAlignment="1" pivotButton="0" quotePrefix="0" xfId="28">
      <alignment horizontal="center" vertical="center"/>
    </xf>
    <xf numFmtId="0" fontId="20" fillId="3" borderId="11" applyAlignment="1" pivotButton="0" quotePrefix="0" xfId="28">
      <alignment vertical="center"/>
    </xf>
    <xf numFmtId="0" fontId="20" fillId="3" borderId="7" applyAlignment="1" pivotButton="0" quotePrefix="0" xfId="28">
      <alignment vertical="center"/>
    </xf>
    <xf numFmtId="169" fontId="20" fillId="0" borderId="0" applyAlignment="1" pivotButton="0" quotePrefix="0" xfId="28">
      <alignment horizontal="center" vertical="center"/>
    </xf>
    <xf numFmtId="0" fontId="20" fillId="0" borderId="7" applyAlignment="1" pivotButton="0" quotePrefix="0" xfId="28">
      <alignment horizontal="right"/>
    </xf>
    <xf numFmtId="0" fontId="50" fillId="0" borderId="0" applyAlignment="1" pivotButton="0" quotePrefix="0" xfId="17">
      <alignment horizontal="left" vertical="center" wrapText="1"/>
    </xf>
    <xf numFmtId="0" fontId="20" fillId="2" borderId="7" applyAlignment="1" pivotButton="0" quotePrefix="0" xfId="0">
      <alignment vertical="top" wrapText="1"/>
    </xf>
    <xf numFmtId="0" fontId="20" fillId="0" borderId="0" applyAlignment="1" pivotButton="0" quotePrefix="0" xfId="28">
      <alignment horizontal="left"/>
    </xf>
    <xf numFmtId="0" fontId="24" fillId="0" borderId="7" applyAlignment="1" pivotButton="0" quotePrefix="0" xfId="28">
      <alignment horizontal="center" vertical="center"/>
    </xf>
    <xf numFmtId="0" fontId="24" fillId="0" borderId="49" applyAlignment="1" pivotButton="0" quotePrefix="0" xfId="28">
      <alignment horizontal="center" vertical="center"/>
    </xf>
    <xf numFmtId="0" fontId="24" fillId="0" borderId="11" applyAlignment="1" pivotButton="0" quotePrefix="0" xfId="28">
      <alignment horizontal="center" vertical="center"/>
    </xf>
    <xf numFmtId="0" fontId="20" fillId="0" borderId="0" pivotButton="0" quotePrefix="0" xfId="23"/>
    <xf numFmtId="0" fontId="24" fillId="0" borderId="7" applyAlignment="1" pivotButton="0" quotePrefix="0" xfId="28">
      <alignment horizontal="center" vertical="center" wrapText="1"/>
    </xf>
    <xf numFmtId="0" fontId="24" fillId="0" borderId="11" applyAlignment="1" pivotButton="0" quotePrefix="0" xfId="28">
      <alignment horizontal="center" vertical="center" wrapText="1"/>
    </xf>
    <xf numFmtId="0" fontId="20" fillId="2" borderId="13" applyAlignment="1" pivotButton="0" quotePrefix="0" xfId="28">
      <alignment horizontal="center" vertical="center"/>
    </xf>
    <xf numFmtId="0" fontId="20" fillId="2" borderId="52" applyAlignment="1" pivotButton="0" quotePrefix="0" xfId="28">
      <alignment horizontal="center" vertical="center"/>
    </xf>
    <xf numFmtId="0" fontId="20" fillId="2" borderId="13" applyAlignment="1" pivotButton="0" quotePrefix="0" xfId="28">
      <alignment horizontal="left" vertical="center"/>
    </xf>
    <xf numFmtId="165" fontId="20" fillId="3" borderId="49" applyAlignment="1" pivotButton="0" quotePrefix="0" xfId="28">
      <alignment vertical="center"/>
    </xf>
    <xf numFmtId="165" fontId="20" fillId="3" borderId="13" applyAlignment="1" pivotButton="0" quotePrefix="0" xfId="28">
      <alignment vertical="center"/>
    </xf>
    <xf numFmtId="3" fontId="13" fillId="9" borderId="13" applyAlignment="1" applyProtection="1" pivotButton="0" quotePrefix="0" xfId="22">
      <alignment horizontal="left" vertical="center" wrapText="1"/>
      <protection locked="0" hidden="0"/>
    </xf>
    <xf numFmtId="0" fontId="20" fillId="2" borderId="11" applyAlignment="1" pivotButton="0" quotePrefix="0" xfId="28">
      <alignment horizontal="center" vertical="center"/>
    </xf>
    <xf numFmtId="3" fontId="13" fillId="9" borderId="11" applyAlignment="1" applyProtection="1" pivotButton="0" quotePrefix="0" xfId="22">
      <alignment horizontal="left" vertical="center" wrapText="1"/>
      <protection locked="0" hidden="0"/>
    </xf>
    <xf numFmtId="0" fontId="20" fillId="2" borderId="49" applyAlignment="1" pivotButton="0" quotePrefix="0" xfId="28">
      <alignment horizontal="center" vertical="center"/>
    </xf>
    <xf numFmtId="3" fontId="13" fillId="9" borderId="52" applyAlignment="1" applyProtection="1" pivotButton="0" quotePrefix="0" xfId="22">
      <alignment horizontal="left" vertical="center" wrapText="1"/>
      <protection locked="0" hidden="0"/>
    </xf>
    <xf numFmtId="0" fontId="20" fillId="0" borderId="11" applyAlignment="1" pivotButton="0" quotePrefix="0" xfId="28">
      <alignment horizontal="left"/>
    </xf>
    <xf numFmtId="0" fontId="20" fillId="0" borderId="0" applyAlignment="1" pivotButton="0" quotePrefix="0" xfId="28">
      <alignment horizontal="center"/>
    </xf>
    <xf numFmtId="169" fontId="20" fillId="0" borderId="0" pivotButton="0" quotePrefix="0" xfId="28"/>
    <xf numFmtId="0" fontId="50" fillId="0" borderId="0" pivotButton="0" quotePrefix="0" xfId="39"/>
    <xf numFmtId="0" fontId="13" fillId="0" borderId="0" pivotButton="0" quotePrefix="1" xfId="28"/>
    <xf numFmtId="0" fontId="25" fillId="20" borderId="0" applyAlignment="1" pivotButton="0" quotePrefix="0" xfId="0">
      <alignment wrapText="1"/>
    </xf>
    <xf numFmtId="0" fontId="24" fillId="2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0" fontId="75" fillId="0" borderId="0" applyAlignment="1" pivotButton="0" quotePrefix="0" xfId="0">
      <alignment wrapText="1"/>
    </xf>
    <xf numFmtId="0" fontId="20" fillId="5" borderId="7" applyAlignment="1" pivotButton="0" quotePrefix="0" xfId="0">
      <alignment horizontal="left" wrapText="1"/>
    </xf>
    <xf numFmtId="171" fontId="20" fillId="5" borderId="7" applyAlignment="1" pivotButton="0" quotePrefix="0" xfId="0">
      <alignment horizontal="left" wrapText="1"/>
    </xf>
    <xf numFmtId="0" fontId="20" fillId="3" borderId="7" applyAlignment="1" pivotButton="0" quotePrefix="0" xfId="0">
      <alignment horizontal="left" wrapText="1"/>
    </xf>
    <xf numFmtId="0" fontId="75" fillId="0" borderId="0" pivotButton="0" quotePrefix="0" xfId="0"/>
    <xf numFmtId="0" fontId="54" fillId="21" borderId="0" pivotButton="0" quotePrefix="0" xfId="28"/>
    <xf numFmtId="0" fontId="31" fillId="21" borderId="0" applyAlignment="1" pivotButton="0" quotePrefix="0" xfId="17">
      <alignment horizontal="center" vertical="center"/>
    </xf>
    <xf numFmtId="0" fontId="31" fillId="21" borderId="0" applyAlignment="1" pivotButton="0" quotePrefix="0" xfId="43">
      <alignment horizontal="center" vertical="center"/>
    </xf>
    <xf numFmtId="0" fontId="25" fillId="0" borderId="0" applyAlignment="1" pivotButton="0" quotePrefix="1" xfId="28">
      <alignment horizontal="right"/>
    </xf>
    <xf numFmtId="0" fontId="25" fillId="0" borderId="0" applyAlignment="1" pivotButton="0" quotePrefix="0" xfId="28">
      <alignment vertical="center"/>
    </xf>
    <xf numFmtId="0" fontId="67" fillId="0" borderId="0" applyAlignment="1" pivotButton="0" quotePrefix="0" xfId="28">
      <alignment vertical="center"/>
    </xf>
    <xf numFmtId="0" fontId="20" fillId="0" borderId="7" applyAlignment="1" pivotButton="0" quotePrefix="0" xfId="28">
      <alignment horizontal="center" vertical="center"/>
    </xf>
    <xf numFmtId="0" fontId="13" fillId="0" borderId="0" applyAlignment="1" pivotButton="0" quotePrefix="0" xfId="28">
      <alignment vertical="center"/>
    </xf>
    <xf numFmtId="0" fontId="24" fillId="0" borderId="0" applyAlignment="1" pivotButton="0" quotePrefix="0" xfId="28">
      <alignment vertical="center"/>
    </xf>
    <xf numFmtId="0" fontId="13" fillId="2" borderId="7" applyAlignment="1" pivotButton="0" quotePrefix="0" xfId="5">
      <alignment horizontal="center" vertical="center" wrapText="1"/>
    </xf>
    <xf numFmtId="0" fontId="25" fillId="2" borderId="7" applyAlignment="1" pivotButton="0" quotePrefix="0" xfId="5">
      <alignment vertical="center" wrapText="1"/>
    </xf>
    <xf numFmtId="0" fontId="20" fillId="0" borderId="49" applyAlignment="1" pivotButton="0" quotePrefix="0" xfId="28">
      <alignment horizontal="center" vertical="center"/>
    </xf>
    <xf numFmtId="0" fontId="20" fillId="3" borderId="49" applyAlignment="1" pivotButton="0" quotePrefix="0" xfId="28">
      <alignment horizontal="center" vertical="center"/>
    </xf>
    <xf numFmtId="0" fontId="13" fillId="3" borderId="49" applyAlignment="1" pivotButton="0" quotePrefix="0" xfId="28">
      <alignment horizontal="center" vertical="center"/>
    </xf>
    <xf numFmtId="0" fontId="75" fillId="5" borderId="0" applyAlignment="1" pivotButton="0" quotePrefix="0" xfId="28">
      <alignment horizontal="left"/>
    </xf>
    <xf numFmtId="0" fontId="75" fillId="5" borderId="0" pivotButton="0" quotePrefix="0" xfId="28"/>
    <xf numFmtId="0" fontId="20" fillId="0" borderId="13" applyAlignment="1" pivotButton="0" quotePrefix="0" xfId="28">
      <alignment horizontal="center" vertical="center"/>
    </xf>
    <xf numFmtId="0" fontId="20" fillId="3" borderId="13" applyAlignment="1" pivotButton="0" quotePrefix="0" xfId="28">
      <alignment horizontal="center" vertical="center"/>
    </xf>
    <xf numFmtId="0" fontId="13" fillId="3" borderId="13" applyAlignment="1" pivotButton="0" quotePrefix="0" xfId="28">
      <alignment horizontal="center" vertical="center"/>
    </xf>
    <xf numFmtId="9" fontId="20" fillId="3" borderId="13" applyAlignment="1" pivotButton="0" quotePrefix="0" xfId="28">
      <alignment horizontal="center" vertical="center"/>
    </xf>
    <xf numFmtId="0" fontId="20" fillId="0" borderId="11" applyAlignment="1" pivotButton="0" quotePrefix="0" xfId="28">
      <alignment horizontal="center" vertical="center"/>
    </xf>
    <xf numFmtId="0" fontId="13" fillId="3" borderId="11" applyAlignment="1" pivotButton="0" quotePrefix="0" xfId="28">
      <alignment horizontal="center" vertical="center"/>
    </xf>
    <xf numFmtId="0" fontId="20" fillId="3" borderId="11" applyAlignment="1" pivotButton="0" quotePrefix="0" xfId="28">
      <alignment horizontal="center" vertical="center"/>
    </xf>
    <xf numFmtId="0" fontId="13" fillId="0" borderId="0" applyAlignment="1" pivotButton="0" quotePrefix="0" xfId="23">
      <alignment horizontal="right"/>
    </xf>
    <xf numFmtId="3" fontId="20" fillId="5" borderId="49" applyAlignment="1" pivotButton="0" quotePrefix="0" xfId="28">
      <alignment vertical="center"/>
    </xf>
    <xf numFmtId="3" fontId="75" fillId="5" borderId="0" pivotButton="0" quotePrefix="0" xfId="28"/>
    <xf numFmtId="3" fontId="20" fillId="5" borderId="13" applyAlignment="1" pivotButton="0" quotePrefix="0" xfId="28">
      <alignment vertical="center"/>
    </xf>
    <xf numFmtId="3" fontId="20" fillId="5" borderId="11" applyAlignment="1" pivotButton="0" quotePrefix="0" xfId="28">
      <alignment vertical="center"/>
    </xf>
    <xf numFmtId="0" fontId="13" fillId="2" borderId="8" applyAlignment="1" pivotButton="0" quotePrefix="0" xfId="28">
      <alignment vertical="center"/>
    </xf>
    <xf numFmtId="0" fontId="20" fillId="2" borderId="9" applyAlignment="1" pivotButton="0" quotePrefix="0" xfId="28">
      <alignment vertical="center"/>
    </xf>
    <xf numFmtId="0" fontId="13" fillId="2" borderId="50" applyAlignment="1" pivotButton="0" quotePrefix="0" xfId="28">
      <alignment vertical="center"/>
    </xf>
    <xf numFmtId="0" fontId="20" fillId="2" borderId="6" applyAlignment="1" pivotButton="0" quotePrefix="0" xfId="28">
      <alignment vertical="center"/>
    </xf>
    <xf numFmtId="0" fontId="20" fillId="2" borderId="14" applyAlignment="1" pivotButton="0" quotePrefix="0" xfId="28">
      <alignment vertical="center"/>
    </xf>
    <xf numFmtId="0" fontId="20" fillId="2" borderId="8" applyAlignment="1" pivotButton="0" quotePrefix="0" xfId="28">
      <alignment vertical="center"/>
    </xf>
    <xf numFmtId="0" fontId="20" fillId="2" borderId="12" applyAlignment="1" pivotButton="0" quotePrefix="0" xfId="28">
      <alignment vertical="center"/>
    </xf>
    <xf numFmtId="0" fontId="25" fillId="0" borderId="0" applyAlignment="1" pivotButton="0" quotePrefix="0" xfId="23">
      <alignment horizontal="right" vertical="center"/>
    </xf>
    <xf numFmtId="0" fontId="31" fillId="21" borderId="0" applyAlignment="1" pivotButton="0" quotePrefix="0" xfId="17">
      <alignment horizontal="centerContinuous" vertical="center"/>
    </xf>
    <xf numFmtId="0" fontId="31" fillId="21" borderId="0" applyAlignment="1" pivotButton="0" quotePrefix="0" xfId="43">
      <alignment horizontal="centerContinuous" vertical="center"/>
    </xf>
    <xf numFmtId="0" fontId="75" fillId="5" borderId="0" applyAlignment="1" pivotButton="0" quotePrefix="0" xfId="28">
      <alignment horizontal="center"/>
    </xf>
    <xf numFmtId="0" fontId="75" fillId="0" borderId="0" applyAlignment="1" pivotButton="0" quotePrefix="0" xfId="28">
      <alignment horizontal="center"/>
    </xf>
    <xf numFmtId="0" fontId="25" fillId="5" borderId="0" applyAlignment="1" pivotButton="0" quotePrefix="1" xfId="28">
      <alignment horizontal="right"/>
    </xf>
    <xf numFmtId="0" fontId="20" fillId="2" borderId="7" applyAlignment="1" pivotButton="0" quotePrefix="0" xfId="28">
      <alignment horizontal="center" vertical="center"/>
    </xf>
    <xf numFmtId="0" fontId="76" fillId="0" borderId="0" applyAlignment="1" pivotButton="0" quotePrefix="0" xfId="28">
      <alignment horizontal="center"/>
    </xf>
    <xf numFmtId="0" fontId="76" fillId="0" borderId="0" applyAlignment="1" pivotButton="0" quotePrefix="0" xfId="28">
      <alignment horizontal="center" wrapText="1"/>
    </xf>
    <xf numFmtId="0" fontId="20" fillId="2" borderId="52" applyAlignment="1" pivotButton="0" quotePrefix="0" xfId="28">
      <alignment horizontal="left" vertical="center" wrapText="1"/>
    </xf>
    <xf numFmtId="0" fontId="20" fillId="2" borderId="50" applyAlignment="1" pivotButton="0" quotePrefix="0" xfId="28">
      <alignment horizontal="left" vertical="center"/>
    </xf>
    <xf numFmtId="0" fontId="75" fillId="0" borderId="0" applyAlignment="1" pivotButton="0" quotePrefix="0" xfId="28">
      <alignment vertical="center"/>
    </xf>
    <xf numFmtId="0" fontId="75" fillId="0" borderId="0" applyAlignment="1" pivotButton="0" quotePrefix="0" xfId="28">
      <alignment horizontal="left" vertical="center"/>
    </xf>
    <xf numFmtId="0" fontId="20" fillId="0" borderId="0" applyAlignment="1" pivotButton="0" quotePrefix="0" xfId="28">
      <alignment horizontal="right" vertical="center"/>
    </xf>
    <xf numFmtId="0" fontId="20" fillId="2" borderId="52" applyAlignment="1" pivotButton="0" quotePrefix="0" xfId="28">
      <alignment horizontal="left" vertical="center"/>
    </xf>
    <xf numFmtId="169" fontId="20" fillId="3" borderId="49" applyAlignment="1" pivotButton="0" quotePrefix="0" xfId="28">
      <alignment vertical="center"/>
    </xf>
    <xf numFmtId="0" fontId="26" fillId="0" borderId="0" pivotButton="0" quotePrefix="0" xfId="28"/>
    <xf numFmtId="0" fontId="20" fillId="0" borderId="0" applyAlignment="1" pivotButton="0" quotePrefix="0" xfId="28">
      <alignment horizontal="left" vertical="center"/>
    </xf>
    <xf numFmtId="169" fontId="20" fillId="0" borderId="0" applyAlignment="1" pivotButton="0" quotePrefix="0" xfId="28">
      <alignment horizontal="right" vertical="center"/>
    </xf>
    <xf numFmtId="167" fontId="20" fillId="0" borderId="0" applyAlignment="1" pivotButton="0" quotePrefix="0" xfId="28">
      <alignment horizontal="right"/>
    </xf>
    <xf numFmtId="0" fontId="20" fillId="2" borderId="13" applyAlignment="1" pivotButton="0" quotePrefix="0" xfId="28">
      <alignment horizontal="left" vertical="center" indent="1"/>
    </xf>
    <xf numFmtId="9" fontId="24" fillId="0" borderId="0" applyAlignment="1" pivotButton="0" quotePrefix="0" xfId="28">
      <alignment vertical="center"/>
    </xf>
    <xf numFmtId="0" fontId="20" fillId="2" borderId="13" applyAlignment="1" pivotButton="0" quotePrefix="0" xfId="28">
      <alignment horizontal="left" vertical="center" indent="2"/>
    </xf>
    <xf numFmtId="165" fontId="20" fillId="18" borderId="13" applyAlignment="1" pivotButton="0" quotePrefix="0" xfId="28">
      <alignment vertical="center"/>
    </xf>
    <xf numFmtId="0" fontId="20" fillId="2" borderId="11" applyAlignment="1" pivotButton="0" quotePrefix="0" xfId="28">
      <alignment horizontal="left" vertical="center" indent="2"/>
    </xf>
    <xf numFmtId="0" fontId="71" fillId="0" borderId="0" applyAlignment="1" pivotButton="0" quotePrefix="0" xfId="28">
      <alignment vertical="center"/>
    </xf>
    <xf numFmtId="0" fontId="20" fillId="0" borderId="0" applyAlignment="1" pivotButton="0" quotePrefix="1" xfId="0">
      <alignment vertical="center"/>
    </xf>
    <xf numFmtId="3" fontId="71" fillId="0" borderId="0" applyAlignment="1" pivotButton="0" quotePrefix="0" xfId="28">
      <alignment horizontal="right" vertical="center"/>
    </xf>
    <xf numFmtId="3" fontId="71" fillId="0" borderId="0" applyAlignment="1" pivotButton="0" quotePrefix="0" xfId="28">
      <alignment vertical="center"/>
    </xf>
    <xf numFmtId="0" fontId="13" fillId="0" borderId="0" applyAlignment="1" pivotButton="0" quotePrefix="0" xfId="28">
      <alignment horizontal="left" vertical="center"/>
    </xf>
    <xf numFmtId="0" fontId="77" fillId="0" borderId="0" applyAlignment="1" pivotButton="0" quotePrefix="0" xfId="28">
      <alignment vertical="center"/>
    </xf>
    <xf numFmtId="0" fontId="24" fillId="0" borderId="0" pivotButton="0" quotePrefix="0" xfId="28"/>
    <xf numFmtId="0" fontId="20" fillId="0" borderId="0" applyAlignment="1" pivotButton="0" quotePrefix="0" xfId="28">
      <alignment horizontal="left" indent="1"/>
    </xf>
    <xf numFmtId="169" fontId="20" fillId="0" borderId="0" applyAlignment="1" pivotButton="0" quotePrefix="0" xfId="28">
      <alignment horizontal="right"/>
    </xf>
    <xf numFmtId="3" fontId="71" fillId="0" borderId="0" applyAlignment="1" pivotButton="0" quotePrefix="0" xfId="28">
      <alignment horizontal="right"/>
    </xf>
    <xf numFmtId="3" fontId="71" fillId="0" borderId="0" pivotButton="0" quotePrefix="0" xfId="28"/>
    <xf numFmtId="0" fontId="71" fillId="0" borderId="0" pivotButton="0" quotePrefix="0" xfId="28"/>
    <xf numFmtId="0" fontId="77" fillId="0" borderId="0" pivotButton="0" quotePrefix="0" xfId="28"/>
    <xf numFmtId="0" fontId="26" fillId="0" borderId="0" applyAlignment="1" pivotButton="0" quotePrefix="0" xfId="28">
      <alignment vertical="center"/>
    </xf>
    <xf numFmtId="167" fontId="20" fillId="0" borderId="0" applyAlignment="1" pivotButton="0" quotePrefix="0" xfId="28">
      <alignment horizontal="right" vertical="center"/>
    </xf>
    <xf numFmtId="0" fontId="20" fillId="2" borderId="0" applyAlignment="1" pivotButton="0" quotePrefix="0" xfId="28">
      <alignment vertical="center"/>
    </xf>
    <xf numFmtId="0" fontId="24" fillId="2" borderId="7" applyAlignment="1" pivotButton="0" quotePrefix="0" xfId="28">
      <alignment horizontal="center" vertical="center"/>
    </xf>
    <xf numFmtId="0" fontId="24" fillId="2" borderId="7" applyAlignment="1" pivotButton="0" quotePrefix="0" xfId="28">
      <alignment horizontal="center" vertical="center" wrapText="1"/>
    </xf>
    <xf numFmtId="0" fontId="25" fillId="5" borderId="0" applyAlignment="1" pivotButton="0" quotePrefix="0" xfId="23">
      <alignment horizontal="right" vertical="center"/>
    </xf>
    <xf numFmtId="0" fontId="45" fillId="0" borderId="0" pivotButton="0" quotePrefix="0" xfId="28"/>
    <xf numFmtId="0" fontId="24" fillId="0" borderId="0" applyAlignment="1" pivotButton="0" quotePrefix="0" xfId="28">
      <alignment wrapText="1"/>
    </xf>
    <xf numFmtId="167" fontId="24" fillId="0" borderId="0" applyAlignment="1" pivotButton="0" quotePrefix="0" xfId="28">
      <alignment horizontal="right"/>
    </xf>
    <xf numFmtId="0" fontId="20" fillId="2" borderId="7" applyAlignment="1" pivotButton="0" quotePrefix="0" xfId="28">
      <alignment horizontal="left" vertical="center"/>
    </xf>
    <xf numFmtId="0" fontId="20" fillId="0" borderId="7" applyAlignment="1" pivotButton="0" quotePrefix="0" xfId="28">
      <alignment horizontal="left" vertical="center"/>
    </xf>
    <xf numFmtId="0" fontId="20" fillId="5" borderId="7" applyAlignment="1" pivotButton="0" quotePrefix="0" xfId="0">
      <alignment horizontal="left" vertical="top"/>
    </xf>
    <xf numFmtId="171" fontId="20" fillId="5" borderId="7" applyAlignment="1" pivotButton="0" quotePrefix="0" xfId="0">
      <alignment horizontal="left" vertical="top"/>
    </xf>
    <xf numFmtId="0" fontId="20" fillId="3" borderId="7" applyAlignment="1" pivotButton="0" quotePrefix="0" xfId="0">
      <alignment horizontal="left" vertical="top"/>
    </xf>
    <xf numFmtId="0" fontId="54" fillId="0" borderId="0" applyAlignment="1" pivotButton="0" quotePrefix="0" xfId="0">
      <alignment horizontal="right" vertical="center"/>
    </xf>
    <xf numFmtId="0" fontId="54" fillId="21" borderId="0" applyAlignment="1" pivotButton="0" quotePrefix="0" xfId="0">
      <alignment vertical="center"/>
    </xf>
    <xf numFmtId="0" fontId="54" fillId="21" borderId="0" pivotButton="0" quotePrefix="0" xfId="0"/>
    <xf numFmtId="0" fontId="20" fillId="0" borderId="0" applyAlignment="1" pivotButton="0" quotePrefix="0" xfId="0">
      <alignment horizontal="right"/>
    </xf>
    <xf numFmtId="0" fontId="24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0" fontId="24" fillId="0" borderId="49" applyAlignment="1" pivotButton="0" quotePrefix="0" xfId="0">
      <alignment horizontal="centerContinuous" vertical="center"/>
    </xf>
    <xf numFmtId="0" fontId="24" fillId="0" borderId="51" applyAlignment="1" pivotButton="0" quotePrefix="0" xfId="0">
      <alignment horizontal="centerContinuous" vertical="center"/>
    </xf>
    <xf numFmtId="0" fontId="24" fillId="0" borderId="49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Continuous" vertical="center"/>
    </xf>
    <xf numFmtId="0" fontId="24" fillId="2" borderId="13" applyAlignment="1" pivotButton="0" quotePrefix="0" xfId="0">
      <alignment horizontal="centerContinuous" vertical="center"/>
    </xf>
    <xf numFmtId="0" fontId="20" fillId="2" borderId="52" applyAlignment="1" pivotButton="0" quotePrefix="0" xfId="0">
      <alignment vertical="center"/>
    </xf>
    <xf numFmtId="0" fontId="20" fillId="2" borderId="50" applyAlignment="1" pivotButton="0" quotePrefix="0" xfId="0">
      <alignment vertical="center"/>
    </xf>
    <xf numFmtId="0" fontId="20" fillId="0" borderId="9" applyAlignment="1" pivotButton="0" quotePrefix="0" xfId="0">
      <alignment horizontal="center" vertical="center"/>
    </xf>
    <xf numFmtId="0" fontId="20" fillId="2" borderId="49" applyAlignment="1" pivotButton="0" quotePrefix="0" xfId="0">
      <alignment vertical="center"/>
    </xf>
    <xf numFmtId="0" fontId="20" fillId="2" borderId="53" applyAlignment="1" pivotButton="0" quotePrefix="0" xfId="0">
      <alignment horizontal="center" vertical="center"/>
    </xf>
    <xf numFmtId="0" fontId="20" fillId="2" borderId="13" applyAlignment="1" pivotButton="0" quotePrefix="0" xfId="0">
      <alignment vertical="center"/>
    </xf>
    <xf numFmtId="0" fontId="20" fillId="2" borderId="54" applyAlignment="1" pivotButton="0" quotePrefix="0" xfId="0">
      <alignment horizontal="center" vertical="center"/>
    </xf>
    <xf numFmtId="0" fontId="24" fillId="2" borderId="53" applyAlignment="1" pivotButton="0" quotePrefix="0" xfId="0">
      <alignment vertical="center"/>
    </xf>
    <xf numFmtId="0" fontId="24" fillId="0" borderId="52" applyAlignment="1" pivotButton="0" quotePrefix="0" xfId="0">
      <alignment horizontal="centerContinuous" vertical="center"/>
    </xf>
    <xf numFmtId="0" fontId="24" fillId="0" borderId="0" applyAlignment="1" pivotButton="0" quotePrefix="0" xfId="0">
      <alignment horizontal="centerContinuous" vertical="center"/>
    </xf>
    <xf numFmtId="0" fontId="24" fillId="0" borderId="8" applyAlignment="1" pivotButton="0" quotePrefix="0" xfId="0">
      <alignment horizontal="centerContinuous" vertical="center"/>
    </xf>
    <xf numFmtId="0" fontId="24" fillId="0" borderId="9" applyAlignment="1" pivotButton="0" quotePrefix="0" xfId="0">
      <alignment horizontal="centerContinuous" vertical="center"/>
    </xf>
    <xf numFmtId="0" fontId="20" fillId="2" borderId="11" applyAlignment="1" pivotButton="0" quotePrefix="0" xfId="0">
      <alignment vertical="center"/>
    </xf>
    <xf numFmtId="0" fontId="20" fillId="2" borderId="12" applyAlignment="1" pivotButton="0" quotePrefix="0" xfId="0">
      <alignment horizontal="center" vertical="center"/>
    </xf>
    <xf numFmtId="0" fontId="24" fillId="2" borderId="11" applyAlignment="1" pivotButton="0" quotePrefix="0" xfId="0">
      <alignment horizontal="centerContinuous" vertical="center"/>
    </xf>
    <xf numFmtId="0" fontId="24" fillId="2" borderId="12" applyAlignment="1" pivotButton="0" quotePrefix="0" xfId="0">
      <alignment horizontal="centerContinuous" vertical="center"/>
    </xf>
    <xf numFmtId="0" fontId="20" fillId="2" borderId="7" applyAlignment="1" pivotButton="0" quotePrefix="0" xfId="0">
      <alignment vertical="center"/>
    </xf>
    <xf numFmtId="0" fontId="20" fillId="3" borderId="10" pivotButton="0" quotePrefix="0" xfId="0"/>
    <xf numFmtId="0" fontId="13" fillId="0" borderId="0" applyAlignment="1" pivotButton="0" quotePrefix="0" xfId="34">
      <alignment horizontal="left" vertical="center"/>
    </xf>
    <xf numFmtId="0" fontId="13" fillId="0" borderId="0" applyAlignment="1" pivotButton="0" quotePrefix="0" xfId="34">
      <alignment vertical="center"/>
    </xf>
    <xf numFmtId="0" fontId="13" fillId="0" borderId="8" applyAlignment="1" pivotButton="0" quotePrefix="0" xfId="34">
      <alignment vertical="center"/>
    </xf>
    <xf numFmtId="0" fontId="13" fillId="0" borderId="9" applyAlignment="1" pivotButton="0" quotePrefix="0" xfId="34">
      <alignment vertical="center"/>
    </xf>
    <xf numFmtId="0" fontId="13" fillId="0" borderId="8" applyAlignment="1" pivotButton="0" quotePrefix="0" xfId="0">
      <alignment vertical="center" wrapText="1"/>
    </xf>
    <xf numFmtId="0" fontId="13" fillId="4" borderId="9" applyAlignment="1" applyProtection="1" pivotButton="0" quotePrefix="0" xfId="13">
      <alignment vertical="center" wrapText="1"/>
      <protection locked="0" hidden="0"/>
    </xf>
    <xf numFmtId="0" fontId="25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25" fillId="0" borderId="0" applyAlignment="1" pivotButton="0" quotePrefix="0" xfId="28">
      <alignment horizontal="right" vertical="center"/>
    </xf>
    <xf numFmtId="10" fontId="20" fillId="5" borderId="7" applyAlignment="1" pivotButton="0" quotePrefix="0" xfId="28">
      <alignment horizontal="right" vertical="center"/>
    </xf>
    <xf numFmtId="0" fontId="25" fillId="0" borderId="0" applyAlignment="1" pivotButton="0" quotePrefix="0" xfId="5">
      <alignment horizontal="center" wrapText="1"/>
    </xf>
    <xf numFmtId="10" fontId="20" fillId="0" borderId="0" applyAlignment="1" pivotButton="0" quotePrefix="0" xfId="28">
      <alignment horizontal="right"/>
    </xf>
    <xf numFmtId="0" fontId="20" fillId="0" borderId="7" applyAlignment="1" pivotButton="0" quotePrefix="0" xfId="28">
      <alignment horizontal="right" vertical="center"/>
    </xf>
    <xf numFmtId="0" fontId="20" fillId="0" borderId="7" applyAlignment="1" pivotButton="0" quotePrefix="0" xfId="28">
      <alignment horizontal="left" vertical="center" indent="1"/>
    </xf>
    <xf numFmtId="0" fontId="20" fillId="0" borderId="51" applyAlignment="1" pivotButton="0" quotePrefix="0" xfId="28">
      <alignment horizontal="left" vertical="center" indent="1"/>
    </xf>
    <xf numFmtId="0" fontId="20" fillId="0" borderId="52" applyAlignment="1" pivotButton="0" quotePrefix="0" xfId="28">
      <alignment horizontal="left" vertical="center" indent="1"/>
    </xf>
    <xf numFmtId="0" fontId="20" fillId="0" borderId="50" applyAlignment="1" pivotButton="0" quotePrefix="0" xfId="28">
      <alignment horizontal="left" vertical="center" indent="1"/>
    </xf>
    <xf numFmtId="0" fontId="20" fillId="0" borderId="7" applyAlignment="1" pivotButton="0" quotePrefix="0" xfId="28">
      <alignment vertical="center"/>
    </xf>
    <xf numFmtId="0" fontId="25" fillId="0" borderId="0" applyAlignment="1" pivotButton="0" quotePrefix="0" xfId="5">
      <alignment horizontal="right" vertical="center" wrapText="1"/>
    </xf>
    <xf numFmtId="0" fontId="20" fillId="0" borderId="8" applyAlignment="1" pivotButton="0" quotePrefix="0" xfId="28">
      <alignment horizontal="left" vertical="center"/>
    </xf>
    <xf numFmtId="0" fontId="25" fillId="0" borderId="7" applyAlignment="1" pivotButton="0" quotePrefix="0" xfId="5">
      <alignment vertical="center" wrapText="1"/>
    </xf>
    <xf numFmtId="0" fontId="38" fillId="5" borderId="0" applyAlignment="1" pivotButton="0" quotePrefix="0" xfId="28">
      <alignment horizontal="left"/>
    </xf>
    <xf numFmtId="0" fontId="38" fillId="5" borderId="0" pivotButton="0" quotePrefix="0" xfId="28"/>
    <xf numFmtId="3" fontId="38" fillId="5" borderId="0" pivotButton="0" quotePrefix="0" xfId="28"/>
    <xf numFmtId="0" fontId="20" fillId="0" borderId="11" applyAlignment="1" pivotButton="0" quotePrefix="0" xfId="28">
      <alignment vertical="center"/>
    </xf>
    <xf numFmtId="0" fontId="20" fillId="0" borderId="8" applyAlignment="1" pivotButton="0" quotePrefix="0" xfId="28">
      <alignment vertical="center"/>
    </xf>
    <xf numFmtId="0" fontId="13" fillId="0" borderId="7" applyAlignment="1" pivotButton="0" quotePrefix="0" xfId="28">
      <alignment vertical="center"/>
    </xf>
    <xf numFmtId="0" fontId="38" fillId="5" borderId="0" applyAlignment="1" pivotButton="0" quotePrefix="0" xfId="28">
      <alignment horizontal="center"/>
    </xf>
    <xf numFmtId="0" fontId="38" fillId="0" borderId="0" applyAlignment="1" pivotButton="0" quotePrefix="0" xfId="28">
      <alignment horizontal="center"/>
    </xf>
    <xf numFmtId="0" fontId="13" fillId="5" borderId="0" applyAlignment="1" pivotButton="0" quotePrefix="0" xfId="28">
      <alignment horizontal="right"/>
    </xf>
    <xf numFmtId="0" fontId="42" fillId="0" borderId="0" applyAlignment="1" pivotButton="0" quotePrefix="0" xfId="28">
      <alignment horizontal="center"/>
    </xf>
    <xf numFmtId="0" fontId="42" fillId="0" borderId="0" applyAlignment="1" pivotButton="0" quotePrefix="0" xfId="28">
      <alignment horizontal="center" wrapText="1"/>
    </xf>
    <xf numFmtId="0" fontId="38" fillId="0" borderId="0" applyAlignment="1" pivotButton="0" quotePrefix="0" xfId="28">
      <alignment vertical="center"/>
    </xf>
    <xf numFmtId="0" fontId="38" fillId="0" borderId="0" applyAlignment="1" pivotButton="0" quotePrefix="0" xfId="28">
      <alignment horizontal="left" vertical="center"/>
    </xf>
    <xf numFmtId="0" fontId="20" fillId="2" borderId="7" applyAlignment="1" pivotButton="0" quotePrefix="0" xfId="28">
      <alignment horizontal="left" vertical="center" indent="1"/>
    </xf>
    <xf numFmtId="0" fontId="20" fillId="2" borderId="51" applyAlignment="1" pivotButton="0" quotePrefix="0" xfId="28">
      <alignment horizontal="left" vertical="center" indent="1"/>
    </xf>
    <xf numFmtId="165" fontId="20" fillId="3" borderId="51" applyAlignment="1" pivotButton="0" quotePrefix="0" xfId="28">
      <alignment vertical="center"/>
    </xf>
    <xf numFmtId="0" fontId="20" fillId="3" borderId="51" applyAlignment="1" pivotButton="0" quotePrefix="0" xfId="28">
      <alignment vertical="center"/>
    </xf>
    <xf numFmtId="0" fontId="20" fillId="2" borderId="52" applyAlignment="1" pivotButton="0" quotePrefix="0" xfId="28">
      <alignment horizontal="left" vertical="center" indent="1"/>
    </xf>
    <xf numFmtId="165" fontId="20" fillId="3" borderId="52" applyAlignment="1" pivotButton="0" quotePrefix="0" xfId="28">
      <alignment vertical="center"/>
    </xf>
    <xf numFmtId="0" fontId="20" fillId="3" borderId="52" applyAlignment="1" pivotButton="0" quotePrefix="0" xfId="28">
      <alignment vertical="center"/>
    </xf>
    <xf numFmtId="0" fontId="20" fillId="2" borderId="50" applyAlignment="1" pivotButton="0" quotePrefix="0" xfId="28">
      <alignment horizontal="left" vertical="center" indent="1"/>
    </xf>
    <xf numFmtId="165" fontId="20" fillId="3" borderId="11" applyAlignment="1" pivotButton="0" quotePrefix="0" xfId="28">
      <alignment vertical="center"/>
    </xf>
    <xf numFmtId="165" fontId="20" fillId="3" borderId="50" applyAlignment="1" pivotButton="0" quotePrefix="0" xfId="28">
      <alignment vertical="center"/>
    </xf>
    <xf numFmtId="0" fontId="20" fillId="3" borderId="50" applyAlignment="1" pivotButton="0" quotePrefix="0" xfId="28">
      <alignment vertical="center"/>
    </xf>
    <xf numFmtId="0" fontId="20" fillId="0" borderId="0" applyAlignment="1" pivotButton="0" quotePrefix="0" xfId="28">
      <alignment horizontal="left" indent="3"/>
    </xf>
    <xf numFmtId="0" fontId="24" fillId="2" borderId="0" applyAlignment="1" pivotButton="0" quotePrefix="0" xfId="28">
      <alignment vertical="center"/>
    </xf>
    <xf numFmtId="9" fontId="13" fillId="0" borderId="0" pivotButton="0" quotePrefix="0" xfId="23"/>
    <xf numFmtId="0" fontId="20" fillId="3" borderId="49" applyAlignment="1" pivotButton="0" quotePrefix="0" xfId="28">
      <alignment vertical="center"/>
    </xf>
    <xf numFmtId="0" fontId="20" fillId="3" borderId="13" applyAlignment="1" pivotButton="0" quotePrefix="0" xfId="28">
      <alignment vertical="center"/>
    </xf>
    <xf numFmtId="0" fontId="20" fillId="2" borderId="0" applyAlignment="1" pivotButton="0" quotePrefix="0" xfId="28">
      <alignment horizontal="right"/>
    </xf>
    <xf numFmtId="0" fontId="20" fillId="2" borderId="0" pivotButton="0" quotePrefix="0" xfId="28"/>
    <xf numFmtId="0" fontId="20" fillId="2" borderId="0" applyAlignment="1" pivotButton="0" quotePrefix="0" xfId="28">
      <alignment horizontal="right" vertical="center"/>
    </xf>
    <xf numFmtId="0" fontId="20" fillId="2" borderId="11" applyAlignment="1" pivotButton="0" quotePrefix="0" xfId="28">
      <alignment horizontal="left" vertical="center" indent="1"/>
    </xf>
    <xf numFmtId="169" fontId="20" fillId="0" borderId="0" applyAlignment="1" pivotButton="0" quotePrefix="0" xfId="28">
      <alignment vertical="center"/>
    </xf>
    <xf numFmtId="0" fontId="20" fillId="2" borderId="7" applyAlignment="1" pivotButton="0" quotePrefix="0" xfId="28">
      <alignment horizontal="left" indent="1"/>
    </xf>
    <xf numFmtId="0" fontId="20" fillId="2" borderId="51" applyAlignment="1" pivotButton="0" quotePrefix="0" xfId="28">
      <alignment horizontal="left" indent="1"/>
    </xf>
    <xf numFmtId="0" fontId="20" fillId="2" borderId="52" applyAlignment="1" pivotButton="0" quotePrefix="0" xfId="28">
      <alignment horizontal="left" indent="1"/>
    </xf>
    <xf numFmtId="0" fontId="20" fillId="2" borderId="50" applyAlignment="1" pivotButton="0" quotePrefix="0" xfId="28">
      <alignment horizontal="left" indent="1"/>
    </xf>
    <xf numFmtId="0" fontId="24" fillId="0" borderId="0" applyAlignment="1" pivotButton="0" quotePrefix="0" xfId="28">
      <alignment horizontal="left" indent="1"/>
    </xf>
    <xf numFmtId="165" fontId="20" fillId="0" borderId="0" pivotButton="0" quotePrefix="0" xfId="28"/>
    <xf numFmtId="0" fontId="25" fillId="0" borderId="0" applyAlignment="1" pivotButton="0" quotePrefix="0" xfId="45">
      <alignment horizontal="right" vertical="center"/>
    </xf>
    <xf numFmtId="0" fontId="54" fillId="21" borderId="0" applyAlignment="1" pivotButton="0" quotePrefix="0" xfId="45">
      <alignment horizontal="left" vertical="center"/>
    </xf>
    <xf numFmtId="0" fontId="13" fillId="0" borderId="7" applyAlignment="1" pivotButton="0" quotePrefix="0" xfId="45">
      <alignment horizontal="center" vertical="center"/>
    </xf>
    <xf numFmtId="0" fontId="13" fillId="5" borderId="0" pivotButton="0" quotePrefix="0" xfId="45"/>
    <xf numFmtId="3" fontId="13" fillId="4" borderId="49" applyAlignment="1" applyProtection="1" pivotButton="0" quotePrefix="0" xfId="22">
      <alignment horizontal="left" vertical="center" wrapText="1"/>
      <protection locked="0" hidden="0"/>
    </xf>
    <xf numFmtId="3" fontId="13" fillId="4" borderId="13" applyAlignment="1" applyProtection="1" pivotButton="0" quotePrefix="0" xfId="22">
      <alignment horizontal="left" vertical="center" wrapText="1"/>
      <protection locked="0" hidden="0"/>
    </xf>
    <xf numFmtId="3" fontId="13" fillId="4" borderId="11" applyAlignment="1" applyProtection="1" pivotButton="0" quotePrefix="0" xfId="22">
      <alignment horizontal="left" vertical="center" wrapText="1"/>
      <protection locked="0" hidden="0"/>
    </xf>
    <xf numFmtId="0" fontId="71" fillId="0" borderId="0" applyAlignment="1" pivotButton="0" quotePrefix="0" xfId="28">
      <alignment horizontal="right"/>
    </xf>
    <xf numFmtId="0" fontId="13" fillId="0" borderId="49" applyAlignment="1" pivotButton="0" quotePrefix="0" xfId="45">
      <alignment horizontal="center" vertical="center"/>
    </xf>
    <xf numFmtId="0" fontId="20" fillId="2" borderId="11" applyAlignment="1" pivotButton="0" quotePrefix="0" xfId="28">
      <alignment horizontal="left" vertical="center"/>
    </xf>
    <xf numFmtId="0" fontId="24" fillId="0" borderId="13" applyAlignment="1" pivotButton="0" quotePrefix="0" xfId="28">
      <alignment horizontal="center" vertical="center"/>
    </xf>
    <xf numFmtId="0" fontId="20" fillId="2" borderId="51" applyAlignment="1" pivotButton="0" quotePrefix="0" xfId="28">
      <alignment horizontal="left" vertical="center"/>
    </xf>
    <xf numFmtId="169" fontId="20" fillId="3" borderId="51" applyAlignment="1" pivotButton="0" quotePrefix="0" xfId="28">
      <alignment vertical="center"/>
    </xf>
    <xf numFmtId="0" fontId="20" fillId="2" borderId="11" applyAlignment="1" pivotButton="0" quotePrefix="0" xfId="28">
      <alignment horizontal="left" indent="1"/>
    </xf>
    <xf numFmtId="165" fontId="20" fillId="0" borderId="0" applyAlignment="1" pivotButton="0" quotePrefix="0" xfId="28">
      <alignment horizontal="right"/>
    </xf>
    <xf numFmtId="0" fontId="13" fillId="0" borderId="0" applyAlignment="1" pivotButton="0" quotePrefix="0" xfId="46">
      <alignment wrapText="1"/>
    </xf>
    <xf numFmtId="0" fontId="13" fillId="0" borderId="0" applyAlignment="1" pivotButton="0" quotePrefix="0" xfId="46">
      <alignment horizontal="center" wrapText="1"/>
    </xf>
    <xf numFmtId="0" fontId="24" fillId="0" borderId="0" pivotButton="0" quotePrefix="0" xfId="47"/>
    <xf numFmtId="0" fontId="24" fillId="0" borderId="0" applyAlignment="1" pivotButton="0" quotePrefix="0" xfId="47">
      <alignment horizontal="left" vertical="center"/>
    </xf>
    <xf numFmtId="0" fontId="24" fillId="0" borderId="0" applyAlignment="1" pivotButton="0" quotePrefix="0" xfId="47">
      <alignment vertical="center"/>
    </xf>
    <xf numFmtId="0" fontId="20" fillId="0" borderId="7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/>
    </xf>
    <xf numFmtId="0" fontId="25" fillId="0" borderId="9" applyAlignment="1" pivotButton="0" quotePrefix="0" xfId="5">
      <alignment vertical="center" wrapText="1"/>
    </xf>
    <xf numFmtId="0" fontId="25" fillId="0" borderId="9" applyAlignment="1" pivotButton="0" quotePrefix="0" xfId="5">
      <alignment vertical="center"/>
    </xf>
    <xf numFmtId="0" fontId="25" fillId="5" borderId="7" applyAlignment="1" pivotButton="0" quotePrefix="0" xfId="5">
      <alignment vertical="center" wrapText="1"/>
    </xf>
    <xf numFmtId="0" fontId="2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46">
      <alignment vertical="center" wrapText="1"/>
    </xf>
    <xf numFmtId="0" fontId="25" fillId="0" borderId="0" applyAlignment="1" pivotButton="0" quotePrefix="0" xfId="46">
      <alignment horizontal="left" vertical="center"/>
    </xf>
    <xf numFmtId="0" fontId="25" fillId="0" borderId="7" applyAlignment="1" pivotButton="0" quotePrefix="0" xfId="5">
      <alignment vertical="center"/>
    </xf>
    <xf numFmtId="0" fontId="13" fillId="0" borderId="7" applyAlignment="1" pivotButton="0" quotePrefix="0" xfId="46">
      <alignment vertical="center" wrapText="1"/>
    </xf>
    <xf numFmtId="3" fontId="13" fillId="4" borderId="7" applyAlignment="1" applyProtection="1" pivotButton="0" quotePrefix="0" xfId="22">
      <alignment vertical="center" wrapText="1"/>
      <protection locked="0" hidden="0"/>
    </xf>
    <xf numFmtId="171" fontId="20" fillId="5" borderId="7" pivotButton="0" quotePrefix="0" xfId="0"/>
    <xf numFmtId="0" fontId="67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0" fillId="2" borderId="8" applyAlignment="1" pivotButton="0" quotePrefix="0" xfId="0">
      <alignment horizontal="center" vertical="center" wrapText="1"/>
    </xf>
    <xf numFmtId="0" fontId="24" fillId="2" borderId="51" applyAlignment="1" pivotButton="0" quotePrefix="0" xfId="0">
      <alignment horizontal="left" vertical="center" wrapText="1"/>
    </xf>
    <xf numFmtId="0" fontId="24" fillId="2" borderId="10" applyAlignment="1" pivotButton="0" quotePrefix="0" xfId="0">
      <alignment horizontal="left" vertical="center" wrapText="1"/>
    </xf>
    <xf numFmtId="0" fontId="24" fillId="2" borderId="53" applyAlignment="1" pivotButton="0" quotePrefix="0" xfId="0">
      <alignment horizontal="left" vertical="center" wrapText="1"/>
    </xf>
    <xf numFmtId="0" fontId="24" fillId="2" borderId="53" applyAlignment="1" pivotButton="0" quotePrefix="0" xfId="0">
      <alignment horizontal="centerContinuous" vertical="center" wrapText="1"/>
    </xf>
    <xf numFmtId="0" fontId="24" fillId="2" borderId="49" applyAlignment="1" pivotButton="0" quotePrefix="0" xfId="0">
      <alignment horizontal="centerContinuous" vertical="center" wrapText="1"/>
    </xf>
    <xf numFmtId="0" fontId="24" fillId="2" borderId="51" applyAlignment="1" pivotButton="0" quotePrefix="0" xfId="0">
      <alignment horizontal="centerContinuous" vertical="center" wrapText="1"/>
    </xf>
    <xf numFmtId="0" fontId="24" fillId="2" borderId="8" applyAlignment="1" pivotButton="0" quotePrefix="0" xfId="0">
      <alignment vertical="center"/>
    </xf>
    <xf numFmtId="0" fontId="24" fillId="2" borderId="14" applyAlignment="1" pivotButton="0" quotePrefix="0" xfId="0">
      <alignment vertical="center"/>
    </xf>
    <xf numFmtId="0" fontId="24" fillId="2" borderId="9" applyAlignment="1" pivotButton="0" quotePrefix="0" xfId="0">
      <alignment vertical="center"/>
    </xf>
    <xf numFmtId="0" fontId="20" fillId="2" borderId="54" applyAlignment="1" pivotButton="0" quotePrefix="0" xfId="0">
      <alignment vertical="center"/>
    </xf>
    <xf numFmtId="0" fontId="20" fillId="3" borderId="10" applyAlignment="1" pivotButton="0" quotePrefix="0" xfId="0">
      <alignment vertical="center"/>
    </xf>
    <xf numFmtId="0" fontId="50" fillId="0" borderId="0" applyAlignment="1" pivotButton="0" quotePrefix="0" xfId="23">
      <alignment vertical="center"/>
    </xf>
    <xf numFmtId="0" fontId="13" fillId="0" borderId="0" applyAlignment="1" pivotButton="0" quotePrefix="1" xfId="23">
      <alignment vertical="center"/>
    </xf>
    <xf numFmtId="10" fontId="20" fillId="0" borderId="0" applyAlignment="1" pivotButton="0" quotePrefix="0" xfId="28">
      <alignment vertical="center"/>
    </xf>
    <xf numFmtId="0" fontId="54" fillId="21" borderId="0" applyAlignment="1" pivotButton="0" quotePrefix="0" xfId="28">
      <alignment vertical="center"/>
    </xf>
    <xf numFmtId="0" fontId="79" fillId="0" borderId="0" applyAlignment="1" pivotButton="0" quotePrefix="0" xfId="28">
      <alignment vertical="center"/>
    </xf>
    <xf numFmtId="0" fontId="13" fillId="0" borderId="7" applyAlignment="1" pivotButton="0" quotePrefix="0" xfId="28">
      <alignment horizontal="center" vertical="center"/>
    </xf>
    <xf numFmtId="3" fontId="20" fillId="0" borderId="0" applyAlignment="1" pivotButton="0" quotePrefix="0" xfId="28">
      <alignment vertical="center"/>
    </xf>
    <xf numFmtId="9" fontId="20" fillId="0" borderId="0" applyAlignment="1" pivotButton="0" quotePrefix="0" xfId="28">
      <alignment vertical="center"/>
    </xf>
    <xf numFmtId="0" fontId="20" fillId="0" borderId="0" applyAlignment="1" pivotButton="0" quotePrefix="0" xfId="28">
      <alignment horizontal="center" vertical="center"/>
    </xf>
    <xf numFmtId="3" fontId="20" fillId="0" borderId="0" applyAlignment="1" pivotButton="0" quotePrefix="0" xfId="28">
      <alignment horizontal="center" vertical="center"/>
    </xf>
    <xf numFmtId="190" fontId="20" fillId="0" borderId="0" applyAlignment="1" pivotButton="0" quotePrefix="0" xfId="28">
      <alignment horizontal="right" vertical="center"/>
    </xf>
    <xf numFmtId="0" fontId="13" fillId="5" borderId="11" applyAlignment="1" pivotButton="0" quotePrefix="0" xfId="5">
      <alignment horizontal="center" vertical="center" wrapText="1"/>
    </xf>
    <xf numFmtId="0" fontId="13" fillId="0" borderId="0" applyAlignment="1" pivotButton="0" quotePrefix="0" xfId="28">
      <alignment horizontal="center" vertical="center"/>
    </xf>
    <xf numFmtId="0" fontId="77" fillId="0" borderId="0" applyAlignment="1" pivotButton="0" quotePrefix="0" xfId="28">
      <alignment horizontal="center" vertical="center"/>
    </xf>
    <xf numFmtId="3" fontId="13" fillId="9" borderId="7" applyAlignment="1" applyProtection="1" pivotButton="0" quotePrefix="0" xfId="13">
      <alignment horizontal="center" vertical="center" wrapText="1"/>
      <protection locked="0" hidden="0"/>
    </xf>
    <xf numFmtId="10" fontId="13" fillId="0" borderId="0" applyAlignment="1" pivotButton="0" quotePrefix="0" xfId="28">
      <alignment vertical="center"/>
    </xf>
    <xf numFmtId="0" fontId="80" fillId="0" borderId="0" applyAlignment="1" pivotButton="0" quotePrefix="0" xfId="28">
      <alignment vertical="center"/>
    </xf>
    <xf numFmtId="9" fontId="20" fillId="5" borderId="7" applyAlignment="1" pivotButton="0" quotePrefix="0" xfId="28">
      <alignment vertical="center"/>
    </xf>
    <xf numFmtId="169" fontId="26" fillId="0" borderId="0" applyAlignment="1" pivotButton="0" quotePrefix="0" xfId="28">
      <alignment vertical="center"/>
    </xf>
    <xf numFmtId="169" fontId="13" fillId="0" borderId="0" applyAlignment="1" pivotButton="0" quotePrefix="0" xfId="28">
      <alignment vertical="center"/>
    </xf>
    <xf numFmtId="10" fontId="20" fillId="5" borderId="7" applyAlignment="1" pivotButton="0" quotePrefix="0" xfId="28">
      <alignment vertical="center"/>
    </xf>
    <xf numFmtId="0" fontId="13" fillId="0" borderId="49" applyAlignment="1" pivotButton="0" quotePrefix="0" xfId="28">
      <alignment horizontal="center" vertical="center"/>
    </xf>
    <xf numFmtId="0" fontId="13" fillId="0" borderId="13" applyAlignment="1" pivotButton="0" quotePrefix="0" xfId="28">
      <alignment horizontal="center" vertical="center"/>
    </xf>
    <xf numFmtId="169" fontId="20" fillId="3" borderId="11" applyAlignment="1" pivotButton="0" quotePrefix="0" xfId="28">
      <alignment vertical="center"/>
    </xf>
    <xf numFmtId="169" fontId="20" fillId="3" borderId="50" applyAlignment="1" pivotButton="0" quotePrefix="0" xfId="28">
      <alignment vertical="center"/>
    </xf>
    <xf numFmtId="0" fontId="13" fillId="5" borderId="7" pivotButton="0" quotePrefix="0" xfId="0"/>
    <xf numFmtId="171" fontId="13" fillId="5" borderId="7" pivotButton="0" quotePrefix="0" xfId="0"/>
    <xf numFmtId="0" fontId="25" fillId="21" borderId="0" applyAlignment="1" pivotButton="0" quotePrefix="0" xfId="28">
      <alignment vertical="center"/>
    </xf>
    <xf numFmtId="10" fontId="13" fillId="5" borderId="7" applyAlignment="1" pivotButton="0" quotePrefix="0" xfId="28">
      <alignment vertical="center"/>
    </xf>
    <xf numFmtId="0" fontId="13" fillId="0" borderId="7" applyAlignment="1" pivotButton="0" quotePrefix="0" xfId="39">
      <alignment horizontal="center" vertical="center"/>
    </xf>
    <xf numFmtId="0" fontId="13" fillId="0" borderId="51" applyAlignment="1" pivotButton="0" quotePrefix="0" xfId="23">
      <alignment horizontal="left" vertical="center"/>
    </xf>
    <xf numFmtId="9" fontId="13" fillId="5" borderId="10" applyAlignment="1" pivotButton="0" quotePrefix="0" xfId="23">
      <alignment vertical="center"/>
    </xf>
    <xf numFmtId="0" fontId="13" fillId="0" borderId="52" applyAlignment="1" pivotButton="0" quotePrefix="0" xfId="23">
      <alignment horizontal="left" vertical="center"/>
    </xf>
    <xf numFmtId="169" fontId="13" fillId="3" borderId="13" applyAlignment="1" pivotButton="0" quotePrefix="0" xfId="23">
      <alignment vertical="center"/>
    </xf>
    <xf numFmtId="9" fontId="13" fillId="5" borderId="0" applyAlignment="1" pivotButton="0" quotePrefix="0" xfId="23">
      <alignment vertical="center"/>
    </xf>
    <xf numFmtId="0" fontId="13" fillId="0" borderId="50" applyAlignment="1" pivotButton="0" quotePrefix="0" xfId="23">
      <alignment horizontal="left" vertical="center"/>
    </xf>
    <xf numFmtId="169" fontId="13" fillId="3" borderId="11" applyAlignment="1" pivotButton="0" quotePrefix="0" xfId="23">
      <alignment vertical="center"/>
    </xf>
    <xf numFmtId="169" fontId="13" fillId="3" borderId="12" applyAlignment="1" pivotButton="0" quotePrefix="0" xfId="23">
      <alignment vertical="center"/>
    </xf>
    <xf numFmtId="9" fontId="13" fillId="3" borderId="6" applyAlignment="1" pivotButton="0" quotePrefix="0" xfId="23">
      <alignment vertical="center"/>
    </xf>
    <xf numFmtId="3" fontId="13" fillId="0" borderId="0" applyAlignment="1" pivotButton="0" quotePrefix="0" xfId="28">
      <alignment vertical="center"/>
    </xf>
    <xf numFmtId="3" fontId="13" fillId="0" borderId="0" applyAlignment="1" pivotButton="0" quotePrefix="0" xfId="28">
      <alignment horizontal="center" vertical="center"/>
    </xf>
    <xf numFmtId="190" fontId="13" fillId="0" borderId="0" applyAlignment="1" pivotButton="0" quotePrefix="0" xfId="28">
      <alignment horizontal="right" vertical="center"/>
    </xf>
    <xf numFmtId="0" fontId="13" fillId="0" borderId="0" applyAlignment="1" pivotButton="0" quotePrefix="0" xfId="28">
      <alignment horizontal="right" vertical="center"/>
    </xf>
    <xf numFmtId="169" fontId="13" fillId="5" borderId="7" applyAlignment="1" pivotButton="0" quotePrefix="0" xfId="28">
      <alignment horizontal="center" vertical="center"/>
    </xf>
    <xf numFmtId="169" fontId="13" fillId="5" borderId="49" applyAlignment="1" pivotButton="0" quotePrefix="0" xfId="28">
      <alignment horizontal="center" vertical="center"/>
    </xf>
    <xf numFmtId="169" fontId="13" fillId="5" borderId="13" applyAlignment="1" pivotButton="0" quotePrefix="0" xfId="28">
      <alignment horizontal="center" vertical="center"/>
    </xf>
    <xf numFmtId="169" fontId="13" fillId="5" borderId="11" applyAlignment="1" pivotButton="0" quotePrefix="0" xfId="28">
      <alignment horizontal="center" vertical="center"/>
    </xf>
    <xf numFmtId="0" fontId="13" fillId="0" borderId="11" applyAlignment="1" pivotButton="0" quotePrefix="0" xfId="28">
      <alignment horizontal="center" vertical="center"/>
    </xf>
    <xf numFmtId="0" fontId="25" fillId="5" borderId="8" applyAlignment="1" pivotButton="0" quotePrefix="0" xfId="5">
      <alignment horizontal="center" vertical="center" wrapText="1"/>
    </xf>
    <xf numFmtId="0" fontId="25" fillId="5" borderId="7" applyAlignment="1" pivotButton="0" quotePrefix="0" xfId="5">
      <alignment horizontal="center" vertical="center" wrapText="1"/>
    </xf>
    <xf numFmtId="0" fontId="25" fillId="0" borderId="10" applyAlignment="1" pivotButton="0" quotePrefix="0" xfId="5">
      <alignment horizontal="center" vertical="center" wrapText="1"/>
    </xf>
    <xf numFmtId="0" fontId="13" fillId="3" borderId="49" applyAlignment="1" pivotButton="0" quotePrefix="0" xfId="28">
      <alignment vertical="center"/>
    </xf>
    <xf numFmtId="0" fontId="13" fillId="3" borderId="13" applyAlignment="1" pivotButton="0" quotePrefix="0" xfId="28">
      <alignment vertical="center"/>
    </xf>
    <xf numFmtId="0" fontId="13" fillId="3" borderId="0" applyAlignment="1" pivotButton="0" quotePrefix="0" xfId="28">
      <alignment vertical="center"/>
    </xf>
    <xf numFmtId="0" fontId="13" fillId="3" borderId="11" applyAlignment="1" pivotButton="0" quotePrefix="0" xfId="28">
      <alignment vertical="center"/>
    </xf>
    <xf numFmtId="0" fontId="13" fillId="3" borderId="6" applyAlignment="1" pivotButton="0" quotePrefix="0" xfId="28">
      <alignment vertical="center"/>
    </xf>
    <xf numFmtId="0" fontId="13" fillId="0" borderId="0" applyAlignment="1" pivotButton="0" quotePrefix="0" xfId="39">
      <alignment horizontal="center" vertical="center"/>
    </xf>
    <xf numFmtId="0" fontId="25" fillId="0" borderId="10" applyAlignment="1" pivotButton="0" quotePrefix="0" xfId="0">
      <alignment horizontal="center" vertical="center" wrapText="1"/>
    </xf>
    <xf numFmtId="0" fontId="13" fillId="5" borderId="10" applyAlignment="1" pivotButton="0" quotePrefix="0" xfId="0">
      <alignment horizontal="right" vertical="center"/>
    </xf>
    <xf numFmtId="0" fontId="13" fillId="5" borderId="10" applyAlignment="1" pivotButton="0" quotePrefix="0" xfId="0">
      <alignment vertical="center"/>
    </xf>
    <xf numFmtId="2" fontId="13" fillId="5" borderId="49" applyAlignment="1" pivotButton="0" quotePrefix="0" xfId="0">
      <alignment vertical="center"/>
    </xf>
    <xf numFmtId="2" fontId="13" fillId="5" borderId="10" applyAlignment="1" pivotButton="0" quotePrefix="0" xfId="0">
      <alignment vertical="center"/>
    </xf>
    <xf numFmtId="0" fontId="13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vertical="center"/>
    </xf>
    <xf numFmtId="2" fontId="13" fillId="5" borderId="13" applyAlignment="1" pivotButton="0" quotePrefix="0" xfId="0">
      <alignment vertical="center"/>
    </xf>
    <xf numFmtId="2" fontId="13" fillId="5" borderId="0" applyAlignment="1" pivotButton="0" quotePrefix="0" xfId="0">
      <alignment vertical="center"/>
    </xf>
    <xf numFmtId="0" fontId="13" fillId="5" borderId="6" applyAlignment="1" pivotButton="0" quotePrefix="0" xfId="0">
      <alignment horizontal="right" vertical="center"/>
    </xf>
    <xf numFmtId="0" fontId="13" fillId="5" borderId="6" applyAlignment="1" pivotButton="0" quotePrefix="0" xfId="0">
      <alignment vertical="center"/>
    </xf>
    <xf numFmtId="2" fontId="13" fillId="5" borderId="11" applyAlignment="1" pivotButton="0" quotePrefix="0" xfId="0">
      <alignment vertical="center"/>
    </xf>
    <xf numFmtId="2" fontId="13" fillId="5" borderId="6" applyAlignment="1" pivotButton="0" quotePrefix="0" xfId="0">
      <alignment vertical="center"/>
    </xf>
    <xf numFmtId="0" fontId="13" fillId="3" borderId="0" applyAlignment="1" pivotButton="0" quotePrefix="0" xfId="0">
      <alignment vertical="center"/>
    </xf>
    <xf numFmtId="2" fontId="13" fillId="0" borderId="0" applyAlignment="1" pivotButton="0" quotePrefix="0" xfId="0">
      <alignment vertical="center"/>
    </xf>
    <xf numFmtId="0" fontId="13" fillId="0" borderId="0" applyAlignment="1" pivotButton="0" quotePrefix="0" xfId="5">
      <alignment horizontal="center" vertical="center" wrapText="1"/>
    </xf>
    <xf numFmtId="9" fontId="13" fillId="0" borderId="0" applyAlignment="1" pivotButton="0" quotePrefix="0" xfId="0">
      <alignment horizontal="center" vertical="center"/>
    </xf>
    <xf numFmtId="0" fontId="25" fillId="0" borderId="0" applyAlignment="1" pivotButton="0" quotePrefix="0" xfId="5">
      <alignment horizontal="left" vertical="center"/>
    </xf>
    <xf numFmtId="0" fontId="31" fillId="21" borderId="0" applyAlignment="1" pivotButton="0" quotePrefix="1" xfId="0">
      <alignment horizontal="left" vertical="center"/>
    </xf>
    <xf numFmtId="0" fontId="31" fillId="21" borderId="0" applyAlignment="1" pivotButton="0" quotePrefix="0" xfId="0">
      <alignment horizontal="left" vertical="center"/>
    </xf>
    <xf numFmtId="0" fontId="25" fillId="0" borderId="0" applyAlignment="1" pivotButton="0" quotePrefix="1" xfId="0">
      <alignment horizontal="center" vertical="center"/>
    </xf>
    <xf numFmtId="0" fontId="25" fillId="0" borderId="0" applyAlignment="1" pivotButton="0" quotePrefix="1" xfId="0">
      <alignment horizontal="left"/>
    </xf>
    <xf numFmtId="0" fontId="13" fillId="0" borderId="0" applyAlignment="1" pivotButton="0" quotePrefix="1" xfId="0">
      <alignment horizontal="center"/>
    </xf>
    <xf numFmtId="0" fontId="13" fillId="2" borderId="51" applyAlignment="1" pivotButton="0" quotePrefix="0" xfId="0">
      <alignment horizontal="center" vertical="center"/>
    </xf>
    <xf numFmtId="0" fontId="13" fillId="2" borderId="10" applyAlignment="1" pivotButton="0" quotePrefix="0" xfId="0">
      <alignment vertical="center"/>
    </xf>
    <xf numFmtId="0" fontId="25" fillId="2" borderId="10" applyAlignment="1" pivotButton="0" quotePrefix="1" xfId="0">
      <alignment vertical="center"/>
    </xf>
    <xf numFmtId="0" fontId="20" fillId="2" borderId="10" applyAlignment="1" pivotButton="0" quotePrefix="0" xfId="0">
      <alignment vertical="center"/>
    </xf>
    <xf numFmtId="0" fontId="13" fillId="2" borderId="52" applyAlignment="1" pivotButton="0" quotePrefix="0" xfId="0">
      <alignment horizontal="center" vertical="center"/>
    </xf>
    <xf numFmtId="0" fontId="13" fillId="2" borderId="0" applyAlignment="1" pivotButton="0" quotePrefix="1" xfId="0">
      <alignment vertical="center"/>
    </xf>
    <xf numFmtId="0" fontId="25" fillId="2" borderId="0" applyAlignment="1" pivotButton="0" quotePrefix="0" xfId="0">
      <alignment vertical="center"/>
    </xf>
    <xf numFmtId="0" fontId="49" fillId="2" borderId="0" applyAlignment="1" pivotButton="0" quotePrefix="1" xfId="0">
      <alignment vertical="center"/>
    </xf>
    <xf numFmtId="0" fontId="20" fillId="2" borderId="50" applyAlignment="1" pivotButton="0" quotePrefix="0" xfId="0">
      <alignment horizontal="center" vertical="center"/>
    </xf>
    <xf numFmtId="0" fontId="25" fillId="2" borderId="6" applyAlignment="1" pivotButton="0" quotePrefix="0" xfId="0">
      <alignment vertical="center"/>
    </xf>
    <xf numFmtId="0" fontId="13" fillId="2" borderId="12" applyAlignment="1" pivotButton="0" quotePrefix="0" xfId="0">
      <alignment vertical="center"/>
    </xf>
    <xf numFmtId="0" fontId="20" fillId="2" borderId="6" applyAlignment="1" pivotButton="0" quotePrefix="0" xfId="0">
      <alignment vertical="center"/>
    </xf>
    <xf numFmtId="0" fontId="13" fillId="2" borderId="6" applyAlignment="1" pivotButton="0" quotePrefix="0" xfId="0">
      <alignment vertical="center"/>
    </xf>
    <xf numFmtId="0" fontId="20" fillId="2" borderId="12" applyAlignment="1" pivotButton="0" quotePrefix="0" xfId="0">
      <alignment vertical="center"/>
    </xf>
    <xf numFmtId="0" fontId="24" fillId="0" borderId="0" applyAlignment="1" pivotButton="0" quotePrefix="1" xfId="0">
      <alignment horizontal="left"/>
    </xf>
    <xf numFmtId="0" fontId="20" fillId="2" borderId="51" applyAlignment="1" pivotButton="0" quotePrefix="0" xfId="0">
      <alignment horizontal="center" vertical="center"/>
    </xf>
    <xf numFmtId="0" fontId="26" fillId="2" borderId="10" applyAlignment="1" pivotButton="0" quotePrefix="1" xfId="0">
      <alignment vertical="center"/>
    </xf>
    <xf numFmtId="0" fontId="20" fillId="2" borderId="53" applyAlignment="1" pivotButton="0" quotePrefix="0" xfId="0">
      <alignment vertical="center"/>
    </xf>
    <xf numFmtId="0" fontId="20" fillId="2" borderId="52" applyAlignment="1" pivotButton="0" quotePrefix="0" xfId="0">
      <alignment horizontal="center" vertical="center"/>
    </xf>
    <xf numFmtId="0" fontId="49" fillId="2" borderId="6" applyAlignment="1" pivotButton="0" quotePrefix="1" xfId="0">
      <alignment vertical="center"/>
    </xf>
    <xf numFmtId="0" fontId="36" fillId="0" borderId="0" pivotButton="0" quotePrefix="1" xfId="0"/>
    <xf numFmtId="0" fontId="24" fillId="0" borderId="0" applyAlignment="1" pivotButton="0" quotePrefix="1" xfId="0">
      <alignment horizontal="left" vertical="center"/>
    </xf>
    <xf numFmtId="0" fontId="36" fillId="2" borderId="0" applyAlignment="1" pivotButton="0" quotePrefix="1" xfId="0">
      <alignment vertical="center"/>
    </xf>
    <xf numFmtId="0" fontId="13" fillId="2" borderId="5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25" fillId="0" borderId="0" applyAlignment="1" pivotButton="0" quotePrefix="1" xfId="0">
      <alignment vertical="center"/>
    </xf>
    <xf numFmtId="0" fontId="49" fillId="0" borderId="0" applyAlignment="1" pivotButton="0" quotePrefix="1" xfId="0">
      <alignment vertical="center"/>
    </xf>
    <xf numFmtId="0" fontId="45" fillId="0" borderId="0" applyAlignment="1" pivotButton="0" quotePrefix="1" xfId="0">
      <alignment vertical="center"/>
    </xf>
    <xf numFmtId="0" fontId="25" fillId="2" borderId="1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31" fillId="0" borderId="0" applyAlignment="1" pivotButton="0" quotePrefix="1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5" fillId="0" borderId="11" applyAlignment="1" pivotButton="0" quotePrefix="0" xfId="17">
      <alignment horizontal="center" vertical="center" wrapText="1"/>
    </xf>
    <xf numFmtId="0" fontId="13" fillId="2" borderId="52" applyAlignment="1" pivotButton="0" quotePrefix="0" xfId="17">
      <alignment horizontal="left" vertical="center" indent="2"/>
    </xf>
    <xf numFmtId="0" fontId="13" fillId="2" borderId="54" applyAlignment="1" pivotButton="0" quotePrefix="0" xfId="17">
      <alignment horizontal="left" vertical="center" indent="2"/>
    </xf>
    <xf numFmtId="0" fontId="13" fillId="2" borderId="50" applyAlignment="1" pivotButton="0" quotePrefix="0" xfId="17">
      <alignment horizontal="left" vertical="center" indent="2"/>
    </xf>
    <xf numFmtId="0" fontId="25" fillId="0" borderId="0" applyAlignment="1" pivotButton="0" quotePrefix="0" xfId="17">
      <alignment horizontal="left" indent="1"/>
    </xf>
    <xf numFmtId="3" fontId="13" fillId="0" borderId="0" pivotButton="0" quotePrefix="0" xfId="0"/>
    <xf numFmtId="3" fontId="13" fillId="0" borderId="0" applyAlignment="1" pivotButton="0" quotePrefix="0" xfId="0">
      <alignment vertical="center"/>
    </xf>
    <xf numFmtId="0" fontId="13" fillId="2" borderId="54" pivotButton="0" quotePrefix="0" xfId="0"/>
    <xf numFmtId="0" fontId="13" fillId="2" borderId="12" pivotButton="0" quotePrefix="0" xfId="0"/>
    <xf numFmtId="0" fontId="13" fillId="2" borderId="53" pivotButton="0" quotePrefix="0" xfId="0"/>
    <xf numFmtId="165" fontId="13" fillId="0" borderId="0" applyAlignment="1" pivotButton="0" quotePrefix="0" xfId="0">
      <alignment vertical="center"/>
    </xf>
    <xf numFmtId="0" fontId="31" fillId="21" borderId="0" applyAlignment="1" pivotButton="0" quotePrefix="0" xfId="0">
      <alignment vertical="top"/>
    </xf>
    <xf numFmtId="0" fontId="20" fillId="0" borderId="8" applyAlignment="1" pivotButton="0" quotePrefix="0" xfId="0">
      <alignment vertical="center"/>
    </xf>
    <xf numFmtId="0" fontId="13" fillId="18" borderId="7" applyAlignment="1" pivotButton="0" quotePrefix="0" xfId="0">
      <alignment horizontal="center" vertical="center"/>
    </xf>
    <xf numFmtId="0" fontId="20" fillId="0" borderId="14" applyAlignment="1" pivotButton="0" quotePrefix="0" xfId="0">
      <alignment vertical="center"/>
    </xf>
    <xf numFmtId="0" fontId="25" fillId="0" borderId="14" applyAlignment="1" pivotButton="0" quotePrefix="0" xfId="17">
      <alignment vertical="center" wrapText="1"/>
    </xf>
    <xf numFmtId="0" fontId="24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left" vertical="center"/>
    </xf>
    <xf numFmtId="0" fontId="20" fillId="2" borderId="14" applyAlignment="1" pivotButton="0" quotePrefix="0" xfId="0">
      <alignment vertical="center"/>
    </xf>
    <xf numFmtId="0" fontId="13" fillId="2" borderId="14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20" fillId="2" borderId="51" applyAlignment="1" pivotButton="0" quotePrefix="0" xfId="0">
      <alignment vertical="center"/>
    </xf>
    <xf numFmtId="172" fontId="20" fillId="3" borderId="7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38" fontId="20" fillId="0" borderId="14" applyAlignment="1" pivotButton="0" quotePrefix="0" xfId="0">
      <alignment vertical="center"/>
    </xf>
    <xf numFmtId="172" fontId="20" fillId="3" borderId="49" applyAlignment="1" pivotButton="0" quotePrefix="0" xfId="0">
      <alignment vertical="center"/>
    </xf>
    <xf numFmtId="38" fontId="20" fillId="0" borderId="0" applyAlignment="1" pivotButton="0" quotePrefix="0" xfId="0">
      <alignment vertical="center"/>
    </xf>
    <xf numFmtId="0" fontId="25" fillId="12" borderId="0" applyAlignment="1" pivotButton="0" quotePrefix="0" xfId="27">
      <alignment horizontal="center"/>
    </xf>
    <xf numFmtId="0" fontId="13" fillId="12" borderId="0" pivotButton="0" quotePrefix="0" xfId="27"/>
    <xf numFmtId="0" fontId="13" fillId="0" borderId="0" applyAlignment="1" pivotButton="0" quotePrefix="0" xfId="27">
      <alignment horizontal="left" vertical="top"/>
    </xf>
    <xf numFmtId="0" fontId="13" fillId="0" borderId="0" applyAlignment="1" pivotButton="0" quotePrefix="0" xfId="27">
      <alignment horizontal="left" vertical="top" wrapText="1"/>
    </xf>
    <xf numFmtId="0" fontId="13" fillId="0" borderId="0" applyAlignment="1" pivotButton="0" quotePrefix="0" xfId="27">
      <alignment vertical="top" wrapText="1"/>
    </xf>
    <xf numFmtId="0" fontId="13" fillId="0" borderId="0" applyAlignment="1" pivotButton="0" quotePrefix="0" xfId="27">
      <alignment vertical="top"/>
    </xf>
    <xf numFmtId="0" fontId="13" fillId="0" borderId="7" applyAlignment="1" pivotButton="0" quotePrefix="0" xfId="27">
      <alignment horizontal="center" vertical="center" wrapText="1"/>
    </xf>
    <xf numFmtId="0" fontId="13" fillId="0" borderId="7" applyAlignment="1" pivotButton="0" quotePrefix="0" xfId="27">
      <alignment vertical="center"/>
    </xf>
    <xf numFmtId="0" fontId="13" fillId="11" borderId="7" applyAlignment="1" pivotButton="0" quotePrefix="0" xfId="27">
      <alignment horizontal="left" vertical="center" wrapText="1"/>
    </xf>
    <xf numFmtId="0" fontId="13" fillId="11" borderId="7" applyAlignment="1" pivotButton="0" quotePrefix="0" xfId="27">
      <alignment horizontal="center" vertical="center" wrapText="1"/>
    </xf>
    <xf numFmtId="9" fontId="13" fillId="0" borderId="0" pivotButton="0" quotePrefix="0" xfId="27"/>
    <xf numFmtId="0" fontId="13" fillId="0" borderId="0" applyAlignment="1" pivotButton="0" quotePrefix="0" xfId="27">
      <alignment horizontal="center" vertical="center" wrapText="1"/>
    </xf>
    <xf numFmtId="0" fontId="46" fillId="11" borderId="7" applyAlignment="1" pivotButton="0" quotePrefix="0" xfId="27">
      <alignment horizontal="center" vertical="center" wrapText="1"/>
    </xf>
    <xf numFmtId="0" fontId="13" fillId="0" borderId="0" applyAlignment="1" pivotButton="0" quotePrefix="0" xfId="27">
      <alignment horizontal="center" vertical="center"/>
    </xf>
    <xf numFmtId="0" fontId="25" fillId="0" borderId="7" applyAlignment="1" pivotButton="0" quotePrefix="1" xfId="27">
      <alignment vertical="center" wrapText="1"/>
    </xf>
    <xf numFmtId="166" fontId="25" fillId="0" borderId="0" applyAlignment="1" pivotButton="0" quotePrefix="0" xfId="27">
      <alignment vertical="center" wrapText="1"/>
    </xf>
    <xf numFmtId="0" fontId="13" fillId="0" borderId="0" applyAlignment="1" pivotButton="0" quotePrefix="0" xfId="27">
      <alignment vertical="center"/>
    </xf>
    <xf numFmtId="0" fontId="25" fillId="0" borderId="7" applyAlignment="1" pivotButton="0" quotePrefix="0" xfId="27">
      <alignment vertical="center"/>
    </xf>
    <xf numFmtId="166" fontId="13" fillId="19" borderId="9" applyAlignment="1" applyProtection="1" pivotButton="0" quotePrefix="0" xfId="26">
      <alignment vertical="center" wrapText="1"/>
      <protection locked="0" hidden="0"/>
    </xf>
    <xf numFmtId="0" fontId="25" fillId="0" borderId="7" applyAlignment="1" pivotButton="0" quotePrefix="0" xfId="27">
      <alignment vertical="center" wrapText="1"/>
    </xf>
    <xf numFmtId="0" fontId="25" fillId="0" borderId="0" pivotButton="0" quotePrefix="0" xfId="27"/>
    <xf numFmtId="0" fontId="13" fillId="11" borderId="9" applyAlignment="1" pivotButton="0" quotePrefix="0" xfId="27">
      <alignment horizontal="center" vertical="center" wrapText="1"/>
    </xf>
    <xf numFmtId="0" fontId="25" fillId="0" borderId="49" applyAlignment="1" pivotButton="0" quotePrefix="0" xfId="27">
      <alignment horizontal="center" vertical="center" wrapText="1"/>
    </xf>
    <xf numFmtId="0" fontId="25" fillId="11" borderId="7" applyAlignment="1" pivotButton="0" quotePrefix="0" xfId="27">
      <alignment vertical="center" wrapText="1"/>
    </xf>
    <xf numFmtId="0" fontId="13" fillId="0" borderId="9" applyAlignment="1" pivotButton="0" quotePrefix="0" xfId="27">
      <alignment horizontal="center" vertical="center" wrapText="1"/>
    </xf>
    <xf numFmtId="0" fontId="25" fillId="0" borderId="0" applyAlignment="1" pivotButton="0" quotePrefix="0" xfId="27">
      <alignment vertical="center" wrapText="1"/>
    </xf>
    <xf numFmtId="0" fontId="25" fillId="3" borderId="7" applyAlignment="1" pivotButton="0" quotePrefix="0" xfId="27">
      <alignment vertical="center" wrapText="1"/>
    </xf>
    <xf numFmtId="0" fontId="25" fillId="3" borderId="7" applyAlignment="1" pivotButton="0" quotePrefix="0" xfId="27">
      <alignment horizontal="center" vertical="center" wrapText="1"/>
    </xf>
    <xf numFmtId="165" fontId="13" fillId="19" borderId="9" applyAlignment="1" applyProtection="1" pivotButton="0" quotePrefix="0" xfId="26">
      <alignment vertical="center" wrapText="1"/>
      <protection locked="0" hidden="0"/>
    </xf>
    <xf numFmtId="165" fontId="13" fillId="7" borderId="9" applyAlignment="1" applyProtection="1" pivotButton="0" quotePrefix="0" xfId="13">
      <alignment horizontal="right" vertical="center" wrapText="1"/>
      <protection locked="0" hidden="0"/>
    </xf>
    <xf numFmtId="165" fontId="13" fillId="19" borderId="9" applyAlignment="1" applyProtection="1" pivotButton="0" quotePrefix="0" xfId="26">
      <alignment horizontal="right" vertical="center" wrapText="1"/>
      <protection locked="0" hidden="0"/>
    </xf>
    <xf numFmtId="0" fontId="13" fillId="0" borderId="7" applyAlignment="1" pivotButton="0" quotePrefix="0" xfId="27">
      <alignment vertical="center" wrapText="1"/>
    </xf>
    <xf numFmtId="0" fontId="13" fillId="11" borderId="7" applyAlignment="1" pivotButton="0" quotePrefix="0" xfId="27">
      <alignment vertical="center" wrapText="1"/>
    </xf>
    <xf numFmtId="165" fontId="13" fillId="0" borderId="9" applyAlignment="1" pivotButton="0" quotePrefix="0" xfId="27">
      <alignment vertical="center" wrapText="1"/>
    </xf>
    <xf numFmtId="165" fontId="13" fillId="0" borderId="7" applyAlignment="1" pivotButton="0" quotePrefix="0" xfId="27">
      <alignment vertical="center" wrapText="1"/>
    </xf>
    <xf numFmtId="166" fontId="13" fillId="0" borderId="0" applyAlignment="1" pivotButton="0" quotePrefix="0" xfId="27">
      <alignment vertical="center" wrapText="1"/>
    </xf>
    <xf numFmtId="165" fontId="25" fillId="18" borderId="7" applyAlignment="1" pivotButton="0" quotePrefix="0" xfId="27">
      <alignment horizontal="center" vertical="center" wrapText="1"/>
    </xf>
    <xf numFmtId="0" fontId="13" fillId="11" borderId="11" applyAlignment="1" pivotButton="0" quotePrefix="0" xfId="27">
      <alignment horizontal="left" vertical="center" wrapText="1"/>
    </xf>
    <xf numFmtId="0" fontId="13" fillId="0" borderId="7" applyAlignment="1" pivotButton="0" quotePrefix="0" xfId="27">
      <alignment horizontal="left" vertical="center" wrapText="1"/>
    </xf>
    <xf numFmtId="165" fontId="13" fillId="0" borderId="11" applyAlignment="1" pivotButton="0" quotePrefix="0" xfId="27">
      <alignment vertical="center" wrapText="1"/>
    </xf>
    <xf numFmtId="165" fontId="13" fillId="0" borderId="0" applyAlignment="1" pivotButton="0" quotePrefix="0" xfId="27">
      <alignment vertical="center"/>
    </xf>
    <xf numFmtId="0" fontId="25" fillId="2" borderId="7" applyAlignment="1" pivotButton="0" quotePrefix="0" xfId="27">
      <alignment vertical="center" wrapText="1"/>
    </xf>
    <xf numFmtId="0" fontId="25" fillId="18" borderId="7" applyAlignment="1" pivotButton="0" quotePrefix="0" xfId="27">
      <alignment vertical="center" wrapText="1"/>
    </xf>
    <xf numFmtId="0" fontId="25" fillId="18" borderId="7" applyAlignment="1" pivotButton="0" quotePrefix="0" xfId="27">
      <alignment horizontal="center" vertical="center" wrapText="1"/>
    </xf>
    <xf numFmtId="165" fontId="13" fillId="7" borderId="9" applyAlignment="1" applyProtection="1" pivotButton="0" quotePrefix="1" xfId="13">
      <alignment horizontal="right" vertical="center" wrapText="1"/>
      <protection locked="0" hidden="0"/>
    </xf>
    <xf numFmtId="0" fontId="13" fillId="0" borderId="0" applyAlignment="1" pivotButton="0" quotePrefix="0" xfId="27">
      <alignment vertical="center" wrapText="1"/>
    </xf>
    <xf numFmtId="0" fontId="13" fillId="21" borderId="0" pivotButton="0" quotePrefix="0" xfId="27"/>
    <xf numFmtId="0" fontId="25" fillId="0" borderId="7" applyAlignment="1" pivotButton="0" quotePrefix="1" xfId="27">
      <alignment vertical="center"/>
    </xf>
    <xf numFmtId="0" fontId="13" fillId="0" borderId="7" applyAlignment="1" pivotButton="0" quotePrefix="0" xfId="27">
      <alignment horizontal="center" vertical="center"/>
    </xf>
    <xf numFmtId="10" fontId="25" fillId="0" borderId="11" applyAlignment="1" pivotButton="0" quotePrefix="0" xfId="17">
      <alignment horizontal="center" vertical="center" wrapText="1"/>
    </xf>
    <xf numFmtId="0" fontId="25" fillId="0" borderId="10" applyAlignment="1" pivotButton="0" quotePrefix="0" xfId="17">
      <alignment vertical="center" wrapText="1"/>
    </xf>
    <xf numFmtId="0" fontId="13" fillId="0" borderId="9" applyAlignment="1" pivotButton="0" quotePrefix="0" xfId="27">
      <alignment horizontal="center" vertical="center"/>
    </xf>
    <xf numFmtId="0" fontId="25" fillId="2" borderId="8" applyAlignment="1" pivotButton="0" quotePrefix="0" xfId="17">
      <alignment vertical="center"/>
    </xf>
    <xf numFmtId="0" fontId="25" fillId="0" borderId="14" applyAlignment="1" pivotButton="0" quotePrefix="0" xfId="27">
      <alignment horizontal="center" vertical="center" wrapText="1"/>
    </xf>
    <xf numFmtId="0" fontId="25" fillId="0" borderId="9" applyAlignment="1" pivotButton="0" quotePrefix="0" xfId="27">
      <alignment horizontal="center" vertical="center" wrapText="1"/>
    </xf>
    <xf numFmtId="0" fontId="13" fillId="0" borderId="8" applyAlignment="1" pivotButton="0" quotePrefix="0" xfId="27">
      <alignment vertical="center"/>
    </xf>
    <xf numFmtId="165" fontId="13" fillId="18" borderId="7" applyAlignment="1" pivotButton="0" quotePrefix="0" xfId="27">
      <alignment horizontal="center" vertical="center"/>
    </xf>
    <xf numFmtId="165" fontId="13" fillId="18" borderId="9" applyAlignment="1" pivotButton="0" quotePrefix="0" xfId="27">
      <alignment horizontal="center" vertical="center"/>
    </xf>
    <xf numFmtId="0" fontId="13" fillId="18" borderId="7" applyAlignment="1" pivotButton="0" quotePrefix="0" xfId="27">
      <alignment horizontal="center" vertical="center"/>
    </xf>
    <xf numFmtId="0" fontId="13" fillId="0" borderId="0" pivotButton="0" quotePrefix="1" xfId="27"/>
    <xf numFmtId="165" fontId="13" fillId="5" borderId="7" applyAlignment="1" pivotButton="0" quotePrefix="0" xfId="27">
      <alignment vertical="center"/>
    </xf>
    <xf numFmtId="0" fontId="13" fillId="0" borderId="14" applyAlignment="1" pivotButton="0" quotePrefix="0" xfId="27">
      <alignment vertical="center" wrapText="1"/>
    </xf>
    <xf numFmtId="0" fontId="13" fillId="0" borderId="9" applyAlignment="1" pivotButton="0" quotePrefix="0" xfId="27">
      <alignment vertical="center"/>
    </xf>
    <xf numFmtId="38" fontId="13" fillId="5" borderId="7" applyAlignment="1" pivotButton="0" quotePrefix="0" xfId="27">
      <alignment vertical="center"/>
    </xf>
    <xf numFmtId="38" fontId="13" fillId="5" borderId="7" applyAlignment="1" pivotButton="0" quotePrefix="0" xfId="27">
      <alignment horizontal="center" vertical="center"/>
    </xf>
    <xf numFmtId="0" fontId="25" fillId="12" borderId="0" pivotButton="0" quotePrefix="0" xfId="20"/>
    <xf numFmtId="0" fontId="25" fillId="12" borderId="0" applyAlignment="1" pivotButton="0" quotePrefix="0" xfId="20">
      <alignment horizontal="center"/>
    </xf>
    <xf numFmtId="0" fontId="13" fillId="2" borderId="7" applyAlignment="1" pivotButton="0" quotePrefix="0" xfId="20">
      <alignment horizontal="center" vertical="center" wrapText="1"/>
    </xf>
    <xf numFmtId="0" fontId="20" fillId="2" borderId="7" applyAlignment="1" pivotButton="0" quotePrefix="0" xfId="20">
      <alignment horizontal="center" vertical="center" wrapText="1"/>
    </xf>
    <xf numFmtId="0" fontId="13" fillId="11" borderId="7" applyAlignment="1" pivotButton="0" quotePrefix="0" xfId="20">
      <alignment horizontal="center" vertical="center" wrapText="1"/>
    </xf>
    <xf numFmtId="0" fontId="20" fillId="11" borderId="7" applyAlignment="1" pivotButton="0" quotePrefix="0" xfId="20">
      <alignment horizontal="center" vertical="center" wrapText="1"/>
    </xf>
    <xf numFmtId="0" fontId="20" fillId="0" borderId="0" applyAlignment="1" pivotButton="0" quotePrefix="0" xfId="20">
      <alignment horizontal="center" vertical="center" wrapText="1"/>
    </xf>
    <xf numFmtId="0" fontId="25" fillId="11" borderId="7" applyAlignment="1" pivotButton="0" quotePrefix="0" xfId="20">
      <alignment horizontal="center" vertical="center" wrapText="1"/>
    </xf>
    <xf numFmtId="0" fontId="25" fillId="0" borderId="7" applyAlignment="1" pivotButton="0" quotePrefix="0" xfId="20">
      <alignment horizontal="center" vertical="center" wrapText="1"/>
    </xf>
    <xf numFmtId="0" fontId="20" fillId="0" borderId="0" applyAlignment="1" pivotButton="0" quotePrefix="0" xfId="20">
      <alignment horizontal="center" vertical="center"/>
    </xf>
    <xf numFmtId="0" fontId="25" fillId="0" borderId="7" applyAlignment="1" pivotButton="0" quotePrefix="1" xfId="20">
      <alignment vertical="center" wrapText="1"/>
    </xf>
    <xf numFmtId="166" fontId="24" fillId="0" borderId="0" applyAlignment="1" pivotButton="0" quotePrefix="0" xfId="20">
      <alignment vertical="center" wrapText="1"/>
    </xf>
    <xf numFmtId="0" fontId="25" fillId="0" borderId="0" applyAlignment="1" pivotButton="0" quotePrefix="0" xfId="20">
      <alignment vertical="center" wrapText="1"/>
    </xf>
    <xf numFmtId="0" fontId="13" fillId="0" borderId="7" applyAlignment="1" pivotButton="0" quotePrefix="0" xfId="20">
      <alignment horizontal="center" vertical="center" wrapText="1"/>
    </xf>
    <xf numFmtId="0" fontId="25" fillId="0" borderId="7" applyAlignment="1" pivotButton="0" quotePrefix="0" xfId="20">
      <alignment vertical="center" wrapText="1"/>
    </xf>
    <xf numFmtId="0" fontId="13" fillId="2" borderId="49" applyAlignment="1" pivotButton="0" quotePrefix="0" xfId="20">
      <alignment horizontal="center" vertical="center" wrapText="1"/>
    </xf>
    <xf numFmtId="0" fontId="13" fillId="11" borderId="9" applyAlignment="1" pivotButton="0" quotePrefix="0" xfId="20">
      <alignment horizontal="center" vertical="center" wrapText="1"/>
    </xf>
    <xf numFmtId="0" fontId="25" fillId="11" borderId="9" applyAlignment="1" pivotButton="0" quotePrefix="0" xfId="20">
      <alignment horizontal="center" vertical="center" wrapText="1"/>
    </xf>
    <xf numFmtId="0" fontId="25" fillId="0" borderId="11" applyAlignment="1" pivotButton="0" quotePrefix="1" xfId="20">
      <alignment vertical="center" wrapText="1"/>
    </xf>
    <xf numFmtId="0" fontId="25" fillId="2" borderId="7" applyAlignment="1" pivotButton="0" quotePrefix="0" xfId="20">
      <alignment horizontal="center" vertical="center" wrapText="1"/>
    </xf>
    <xf numFmtId="0" fontId="13" fillId="0" borderId="11" applyAlignment="1" pivotButton="0" quotePrefix="1" xfId="20">
      <alignment vertical="center" wrapText="1"/>
    </xf>
    <xf numFmtId="0" fontId="13" fillId="0" borderId="7" applyAlignment="1" pivotButton="0" quotePrefix="1" xfId="20">
      <alignment vertical="center" wrapText="1"/>
    </xf>
    <xf numFmtId="0" fontId="49" fillId="0" borderId="7" applyAlignment="1" pivotButton="0" quotePrefix="1" xfId="20">
      <alignment horizontal="left" vertical="center" wrapText="1"/>
    </xf>
    <xf numFmtId="0" fontId="25" fillId="0" borderId="0" applyAlignment="1" pivotButton="0" quotePrefix="1" xfId="20">
      <alignment vertical="center" wrapText="1"/>
    </xf>
    <xf numFmtId="38" fontId="26" fillId="0" borderId="0" pivotButton="0" quotePrefix="0" xfId="0"/>
    <xf numFmtId="0" fontId="31" fillId="0" borderId="0" applyAlignment="1" pivotButton="0" quotePrefix="0" xfId="17">
      <alignment horizontal="left" vertical="center"/>
    </xf>
    <xf numFmtId="0" fontId="20" fillId="2" borderId="7" applyAlignment="1" pivotButton="0" quotePrefix="0" xfId="20">
      <alignment vertical="center"/>
    </xf>
    <xf numFmtId="0" fontId="25" fillId="2" borderId="7" applyAlignment="1" pivotButton="0" quotePrefix="0" xfId="20">
      <alignment vertical="center"/>
    </xf>
    <xf numFmtId="0" fontId="24" fillId="2" borderId="7" applyAlignment="1" pivotButton="0" quotePrefix="0" xfId="20">
      <alignment horizontal="center" vertical="center" wrapText="1"/>
    </xf>
    <xf numFmtId="0" fontId="24" fillId="2" borderId="49" applyAlignment="1" pivotButton="0" quotePrefix="0" xfId="20">
      <alignment horizontal="center" vertical="center" wrapText="1"/>
    </xf>
    <xf numFmtId="0" fontId="13" fillId="2" borderId="49" applyAlignment="1" pivotButton="0" quotePrefix="0" xfId="20">
      <alignment vertical="center"/>
    </xf>
    <xf numFmtId="165" fontId="13" fillId="18" borderId="49" applyAlignment="1" pivotButton="0" quotePrefix="0" xfId="17">
      <alignment horizontal="right" vertical="center"/>
    </xf>
    <xf numFmtId="0" fontId="13" fillId="2" borderId="49" applyAlignment="1" pivotButton="0" quotePrefix="0" xfId="20">
      <alignment horizontal="left" vertical="center" indent="2"/>
    </xf>
    <xf numFmtId="165" fontId="13" fillId="18" borderId="49" applyAlignment="1" pivotButton="0" quotePrefix="0" xfId="17">
      <alignment horizontal="right" vertical="center" wrapText="1"/>
    </xf>
    <xf numFmtId="0" fontId="13" fillId="2" borderId="13" applyAlignment="1" pivotButton="0" quotePrefix="0" xfId="17">
      <alignment horizontal="left" vertical="center" wrapText="1" indent="4"/>
    </xf>
    <xf numFmtId="0" fontId="13" fillId="2" borderId="11" applyAlignment="1" pivotButton="0" quotePrefix="0" xfId="17">
      <alignment horizontal="left" vertical="center" wrapText="1" indent="4"/>
    </xf>
    <xf numFmtId="0" fontId="13" fillId="0" borderId="49" applyAlignment="1" pivotButton="0" quotePrefix="0" xfId="17">
      <alignment horizontal="left" vertical="center" wrapText="1" indent="2"/>
    </xf>
    <xf numFmtId="0" fontId="13" fillId="0" borderId="0" pivotButton="0" quotePrefix="1" xfId="20"/>
    <xf numFmtId="0" fontId="13" fillId="0" borderId="7" applyAlignment="1" pivotButton="0" quotePrefix="0" xfId="17">
      <alignment horizontal="left" vertical="center" wrapText="1" indent="2"/>
    </xf>
    <xf numFmtId="0" fontId="13" fillId="0" borderId="0" applyAlignment="1" pivotButton="0" quotePrefix="0" xfId="17">
      <alignment horizontal="left" vertical="center" wrapText="1" indent="6"/>
    </xf>
    <xf numFmtId="169" fontId="13" fillId="5" borderId="7" applyAlignment="1" pivotButton="0" quotePrefix="0" xfId="17">
      <alignment horizontal="center" vertical="center"/>
    </xf>
    <xf numFmtId="0" fontId="67" fillId="0" borderId="7" applyAlignment="1" pivotButton="0" quotePrefix="0" xfId="0">
      <alignment horizontal="right" vertical="center"/>
    </xf>
    <xf numFmtId="0" fontId="36" fillId="0" borderId="7" applyAlignment="1" pivotButton="0" quotePrefix="0" xfId="0">
      <alignment horizontal="center" vertical="center"/>
    </xf>
    <xf numFmtId="0" fontId="20" fillId="0" borderId="7" applyAlignment="1" pivotButton="0" quotePrefix="0" xfId="0">
      <alignment horizontal="right" vertical="center"/>
    </xf>
    <xf numFmtId="165" fontId="13" fillId="5" borderId="9" applyAlignment="1" pivotButton="0" quotePrefix="0" xfId="17">
      <alignment horizontal="center" vertical="center"/>
    </xf>
    <xf numFmtId="165" fontId="13" fillId="5" borderId="7" applyAlignment="1" pivotButton="0" quotePrefix="0" xfId="17">
      <alignment horizontal="center" vertical="center"/>
    </xf>
    <xf numFmtId="0" fontId="13" fillId="0" borderId="7" applyAlignment="1" pivotButton="0" quotePrefix="0" xfId="0">
      <alignment horizontal="right" vertical="center"/>
    </xf>
    <xf numFmtId="0" fontId="20" fillId="0" borderId="8" applyAlignment="1" pivotButton="0" quotePrefix="0" xfId="0">
      <alignment horizontal="right" vertical="center"/>
    </xf>
    <xf numFmtId="165" fontId="20" fillId="0" borderId="14" applyAlignment="1" pivotButton="0" quotePrefix="0" xfId="0">
      <alignment vertical="center"/>
    </xf>
    <xf numFmtId="165" fontId="20" fillId="0" borderId="9" applyAlignment="1" pivotButton="0" quotePrefix="0" xfId="0">
      <alignment vertical="center"/>
    </xf>
    <xf numFmtId="189" fontId="20" fillId="0" borderId="0" applyAlignment="1" pivotButton="0" quotePrefix="0" xfId="0">
      <alignment horizontal="center" vertical="center"/>
    </xf>
    <xf numFmtId="0" fontId="20" fillId="21" borderId="0" pivotButton="0" quotePrefix="0" xfId="0"/>
    <xf numFmtId="0" fontId="13" fillId="2" borderId="7" applyAlignment="1" pivotButton="0" quotePrefix="0" xfId="20">
      <alignment vertical="center"/>
    </xf>
    <xf numFmtId="0" fontId="13" fillId="2" borderId="7" applyAlignment="1" pivotButton="0" quotePrefix="0" xfId="17">
      <alignment horizontal="left" vertical="center" wrapText="1" indent="2"/>
    </xf>
    <xf numFmtId="0" fontId="26" fillId="0" borderId="0" pivotButton="0" quotePrefix="0" xfId="20"/>
    <xf numFmtId="0" fontId="13" fillId="2" borderId="11" applyAlignment="1" pivotButton="0" quotePrefix="0" xfId="17">
      <alignment horizontal="left" vertical="center" wrapText="1" indent="2"/>
    </xf>
    <xf numFmtId="0" fontId="25" fillId="0" borderId="0" applyAlignment="1" pivotButton="0" quotePrefix="0" xfId="17">
      <alignment vertical="center"/>
    </xf>
    <xf numFmtId="0" fontId="13" fillId="0" borderId="0" applyAlignment="1" pivotButton="0" quotePrefix="0" xfId="17">
      <alignment horizontal="left" vertical="center" indent="2"/>
    </xf>
    <xf numFmtId="0" fontId="13" fillId="11" borderId="7" applyAlignment="1" pivotButton="0" quotePrefix="0" xfId="27">
      <alignment horizontal="left" vertical="center" wrapText="1" indent="1"/>
    </xf>
    <xf numFmtId="0" fontId="13" fillId="11" borderId="7" applyAlignment="1" pivotButton="0" quotePrefix="0" xfId="27">
      <alignment horizontal="left" vertical="center" wrapText="1" indent="2"/>
    </xf>
    <xf numFmtId="0" fontId="25" fillId="11" borderId="7" applyAlignment="1" pivotButton="0" quotePrefix="0" xfId="20">
      <alignment vertical="center" wrapText="1"/>
    </xf>
    <xf numFmtId="0" fontId="13" fillId="0" borderId="0" applyAlignment="1" pivotButton="0" quotePrefix="0" xfId="20">
      <alignment horizontal="center"/>
    </xf>
    <xf numFmtId="0" fontId="25" fillId="0" borderId="13" applyAlignment="1" pivotButton="0" quotePrefix="0" xfId="17">
      <alignment horizontal="center" vertical="center" wrapText="1"/>
    </xf>
    <xf numFmtId="0" fontId="13" fillId="4" borderId="7" applyAlignment="1" applyProtection="1" pivotButton="0" quotePrefix="0" xfId="26">
      <alignment vertical="center" wrapText="1"/>
      <protection locked="0" hidden="0"/>
    </xf>
    <xf numFmtId="0" fontId="20" fillId="3" borderId="0" pivotButton="0" quotePrefix="0" xfId="20"/>
    <xf numFmtId="0" fontId="82" fillId="2" borderId="0" pivotButton="0" quotePrefix="0" xfId="0"/>
    <xf numFmtId="164" fontId="8" fillId="2" borderId="0" applyAlignment="1" pivotButton="0" quotePrefix="0" xfId="3">
      <alignment horizontal="left" vertical="center"/>
    </xf>
    <xf numFmtId="0" fontId="8" fillId="2" borderId="0" applyAlignment="1" pivotButton="0" quotePrefix="0" xfId="2">
      <alignment horizontal="left" vertical="center" indent="1"/>
    </xf>
    <xf numFmtId="0" fontId="5" fillId="2" borderId="1" applyAlignment="1" applyProtection="1" pivotButton="0" quotePrefix="0" xfId="3">
      <alignment horizontal="center" wrapText="1"/>
      <protection locked="0" hidden="0"/>
    </xf>
    <xf numFmtId="0" fontId="5" fillId="2" borderId="2" applyAlignment="1" applyProtection="1" pivotButton="0" quotePrefix="0" xfId="3">
      <alignment horizontal="center" wrapText="1"/>
      <protection locked="0" hidden="0"/>
    </xf>
    <xf numFmtId="0" fontId="5" fillId="2" borderId="3" applyAlignment="1" applyProtection="1" pivotButton="0" quotePrefix="0" xfId="3">
      <alignment horizontal="center" wrapText="1"/>
      <protection locked="0" hidden="0"/>
    </xf>
    <xf numFmtId="49" fontId="5" fillId="2" borderId="1" applyProtection="1" pivotButton="0" quotePrefix="0" xfId="3">
      <protection locked="0" hidden="0"/>
    </xf>
    <xf numFmtId="49" fontId="5" fillId="2" borderId="3" applyProtection="1" pivotButton="0" quotePrefix="0" xfId="3">
      <protection locked="0" hidden="0"/>
    </xf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3">
      <alignment horizontal="center"/>
    </xf>
    <xf numFmtId="0" fontId="5" fillId="2" borderId="2" applyAlignment="1" pivotButton="0" quotePrefix="0" xfId="3">
      <alignment horizontal="center"/>
    </xf>
    <xf numFmtId="0" fontId="5" fillId="2" borderId="3" applyAlignment="1" pivotButton="0" quotePrefix="0" xfId="3">
      <alignment horizontal="center"/>
    </xf>
    <xf numFmtId="16" fontId="5" fillId="2" borderId="1" applyAlignment="1" applyProtection="1" pivotButton="0" quotePrefix="0" xfId="4">
      <alignment horizontal="center"/>
      <protection locked="0" hidden="0"/>
    </xf>
    <xf numFmtId="191" fontId="5" fillId="2" borderId="3" applyAlignment="1" applyProtection="1" pivotButton="0" quotePrefix="0" xfId="4">
      <alignment horizontal="center"/>
      <protection locked="0" hidden="0"/>
    </xf>
    <xf numFmtId="0" fontId="24" fillId="12" borderId="0" applyAlignment="1" pivotButton="0" quotePrefix="0" xfId="0">
      <alignment horizontal="left"/>
    </xf>
    <xf numFmtId="0" fontId="26" fillId="0" borderId="14" applyAlignment="1" pivotButton="0" quotePrefix="0" xfId="0">
      <alignment horizontal="center" vertical="center" wrapText="1"/>
    </xf>
    <xf numFmtId="0" fontId="26" fillId="11" borderId="14" applyAlignment="1" pivotButton="0" quotePrefix="0" xfId="0">
      <alignment horizontal="center" vertical="center" wrapText="1"/>
    </xf>
    <xf numFmtId="0" fontId="26" fillId="11" borderId="9" applyAlignment="1" pivotButton="0" quotePrefix="0" xfId="0">
      <alignment horizontal="center" vertical="center" wrapText="1"/>
    </xf>
    <xf numFmtId="0" fontId="13" fillId="2" borderId="34" applyAlignment="1" pivotButton="0" quotePrefix="0" xfId="17">
      <alignment horizontal="center" vertical="center" wrapText="1"/>
    </xf>
    <xf numFmtId="0" fontId="13" fillId="11" borderId="32" applyAlignment="1" pivotButton="0" quotePrefix="0" xfId="17">
      <alignment horizontal="center" vertical="center" wrapText="1"/>
    </xf>
    <xf numFmtId="0" fontId="25" fillId="0" borderId="35" applyAlignment="1" pivotButton="0" quotePrefix="0" xfId="0">
      <alignment vertical="center" wrapText="1"/>
    </xf>
    <xf numFmtId="0" fontId="25" fillId="11" borderId="40" applyAlignment="1" pivotButton="0" quotePrefix="0" xfId="0">
      <alignment vertical="center" wrapText="1"/>
    </xf>
    <xf numFmtId="0" fontId="20" fillId="0" borderId="29" applyAlignment="1" pivotButton="0" quotePrefix="0" xfId="0">
      <alignment horizontal="center" wrapText="1"/>
    </xf>
    <xf numFmtId="0" fontId="20" fillId="11" borderId="29" applyAlignment="1" pivotButton="0" quotePrefix="0" xfId="0">
      <alignment horizontal="center" wrapText="1"/>
    </xf>
    <xf numFmtId="0" fontId="20" fillId="11" borderId="30" applyAlignment="1" pivotButton="0" quotePrefix="0" xfId="0">
      <alignment horizontal="center" wrapText="1"/>
    </xf>
    <xf numFmtId="0" fontId="20" fillId="0" borderId="28" applyAlignment="1" pivotButton="0" quotePrefix="0" xfId="0">
      <alignment horizontal="center" vertical="center" wrapText="1"/>
    </xf>
    <xf numFmtId="0" fontId="20" fillId="11" borderId="29" applyAlignment="1" pivotButton="0" quotePrefix="0" xfId="0">
      <alignment horizontal="center" vertical="center" wrapText="1"/>
    </xf>
    <xf numFmtId="0" fontId="20" fillId="11" borderId="30" applyAlignment="1" pivotButton="0" quotePrefix="0" xfId="0">
      <alignment horizontal="center" vertical="center" wrapText="1"/>
    </xf>
    <xf numFmtId="166" fontId="13" fillId="18" borderId="28" applyAlignment="1" pivotButton="0" quotePrefix="0" xfId="13">
      <alignment horizontal="center"/>
    </xf>
    <xf numFmtId="166" fontId="13" fillId="3" borderId="29" applyAlignment="1" pivotButton="0" quotePrefix="0" xfId="13">
      <alignment horizontal="center"/>
    </xf>
    <xf numFmtId="166" fontId="13" fillId="3" borderId="30" applyAlignment="1" pivotButton="0" quotePrefix="0" xfId="13">
      <alignment horizontal="center"/>
    </xf>
    <xf numFmtId="0" fontId="13" fillId="9" borderId="28" applyAlignment="1" applyProtection="1" pivotButton="0" quotePrefix="0" xfId="13">
      <alignment horizontal="center" vertical="center" wrapText="1"/>
      <protection locked="0" hidden="0"/>
    </xf>
    <xf numFmtId="0" fontId="13" fillId="9" borderId="30" applyAlignment="1" applyProtection="1" pivotButton="0" quotePrefix="0" xfId="13">
      <alignment horizontal="center" vertical="center" wrapText="1"/>
      <protection locked="0" hidden="0"/>
    </xf>
    <xf numFmtId="0" fontId="13" fillId="2" borderId="35" applyAlignment="1" pivotButton="0" quotePrefix="0" xfId="17">
      <alignment horizontal="center" vertical="center" wrapText="1"/>
    </xf>
    <xf numFmtId="0" fontId="13" fillId="11" borderId="33" applyAlignment="1" pivotButton="0" quotePrefix="0" xfId="17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11" borderId="29" applyAlignment="1" pivotButton="0" quotePrefix="0" xfId="0">
      <alignment horizontal="center" vertical="center" wrapText="1"/>
    </xf>
    <xf numFmtId="0" fontId="13" fillId="11" borderId="30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3" fillId="11" borderId="33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36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 wrapText="1"/>
    </xf>
    <xf numFmtId="0" fontId="20" fillId="11" borderId="36" applyAlignment="1" pivotButton="0" quotePrefix="0" xfId="0">
      <alignment horizontal="center" vertical="center" wrapText="1"/>
    </xf>
    <xf numFmtId="0" fontId="20" fillId="11" borderId="33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20" fillId="11" borderId="39" applyAlignment="1" pivotButton="0" quotePrefix="0" xfId="0">
      <alignment horizontal="center" vertical="center" wrapText="1"/>
    </xf>
    <xf numFmtId="0" fontId="13" fillId="11" borderId="31" applyAlignment="1" pivotButton="0" quotePrefix="0" xfId="0">
      <alignment horizontal="left" vertical="center" wrapText="1"/>
    </xf>
    <xf numFmtId="0" fontId="13" fillId="11" borderId="34" applyAlignment="1" pivotButton="0" quotePrefix="0" xfId="0">
      <alignment horizontal="left" vertical="center" wrapText="1"/>
    </xf>
    <xf numFmtId="0" fontId="13" fillId="11" borderId="32" applyAlignment="1" pivotButton="0" quotePrefix="0" xfId="0">
      <alignment horizontal="left" vertical="center" wrapText="1"/>
    </xf>
    <xf numFmtId="0" fontId="13" fillId="11" borderId="35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/>
    </xf>
    <xf numFmtId="0" fontId="13" fillId="11" borderId="29" applyAlignment="1" pivotButton="0" quotePrefix="0" xfId="0">
      <alignment horizontal="center" vertical="center"/>
    </xf>
    <xf numFmtId="0" fontId="13" fillId="11" borderId="30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20" fillId="11" borderId="30" applyAlignment="1" pivotButton="0" quotePrefix="0" xfId="0">
      <alignment horizontal="center" vertical="center"/>
    </xf>
    <xf numFmtId="0" fontId="20" fillId="11" borderId="2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 wrapText="1"/>
    </xf>
    <xf numFmtId="0" fontId="13" fillId="11" borderId="32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25" fillId="2" borderId="31" applyAlignment="1" pivotButton="0" quotePrefix="0" xfId="0">
      <alignment horizontal="center" vertical="center" wrapText="1"/>
    </xf>
    <xf numFmtId="0" fontId="25" fillId="11" borderId="34" applyAlignment="1" pivotButton="0" quotePrefix="0" xfId="0">
      <alignment horizontal="center" vertical="center" wrapText="1"/>
    </xf>
    <xf numFmtId="0" fontId="25" fillId="11" borderId="32" applyAlignment="1" pivotButton="0" quotePrefix="0" xfId="0">
      <alignment horizontal="center" vertical="center" wrapText="1"/>
    </xf>
    <xf numFmtId="0" fontId="13" fillId="0" borderId="8" applyAlignment="1" pivotButton="0" quotePrefix="0" xfId="23">
      <alignment horizontal="left" vertical="center" wrapText="1"/>
    </xf>
    <xf numFmtId="0" fontId="13" fillId="11" borderId="14" applyAlignment="1" pivotButton="0" quotePrefix="0" xfId="23">
      <alignment horizontal="left" vertical="center" wrapText="1"/>
    </xf>
    <xf numFmtId="0" fontId="13" fillId="11" borderId="9" applyAlignment="1" pivotButton="0" quotePrefix="0" xfId="23">
      <alignment horizontal="left" vertical="center" wrapText="1"/>
    </xf>
    <xf numFmtId="0" fontId="25" fillId="0" borderId="14" applyAlignment="1" pivotButton="0" quotePrefix="0" xfId="17">
      <alignment horizontal="left" vertical="center" wrapText="1"/>
    </xf>
    <xf numFmtId="0" fontId="25" fillId="11" borderId="9" applyAlignment="1" pivotButton="0" quotePrefix="0" xfId="17">
      <alignment horizontal="left" vertical="center" wrapText="1"/>
    </xf>
    <xf numFmtId="0" fontId="25" fillId="0" borderId="8" applyAlignment="1" pivotButton="0" quotePrefix="0" xfId="23">
      <alignment horizontal="left" vertical="center"/>
    </xf>
    <xf numFmtId="0" fontId="25" fillId="11" borderId="14" applyAlignment="1" pivotButton="0" quotePrefix="0" xfId="23">
      <alignment horizontal="left" vertical="center"/>
    </xf>
    <xf numFmtId="0" fontId="25" fillId="11" borderId="9" applyAlignment="1" pivotButton="0" quotePrefix="0" xfId="23">
      <alignment horizontal="left" vertical="center"/>
    </xf>
    <xf numFmtId="0" fontId="25" fillId="0" borderId="8" applyAlignment="1" pivotButton="0" quotePrefix="0" xfId="17">
      <alignment horizontal="left" vertical="center" wrapText="1"/>
    </xf>
    <xf numFmtId="0" fontId="25" fillId="11" borderId="14" applyAlignment="1" pivotButton="0" quotePrefix="0" xfId="17">
      <alignment horizontal="left" vertical="center" wrapText="1"/>
    </xf>
    <xf numFmtId="38" fontId="13" fillId="4" borderId="8" applyAlignment="1" applyProtection="1" pivotButton="0" quotePrefix="0" xfId="22">
      <alignment horizontal="center" vertical="center" wrapText="1"/>
      <protection locked="0" hidden="0"/>
    </xf>
    <xf numFmtId="38" fontId="13" fillId="4" borderId="14" applyAlignment="1" applyProtection="1" pivotButton="0" quotePrefix="0" xfId="22">
      <alignment horizontal="center" vertical="center" wrapText="1"/>
      <protection locked="0" hidden="0"/>
    </xf>
    <xf numFmtId="0" fontId="13" fillId="0" borderId="8" applyAlignment="1" pivotButton="0" quotePrefix="0" xfId="23">
      <alignment horizontal="center"/>
    </xf>
    <xf numFmtId="0" fontId="13" fillId="11" borderId="14" applyAlignment="1" pivotButton="0" quotePrefix="0" xfId="23">
      <alignment horizontal="center"/>
    </xf>
    <xf numFmtId="0" fontId="13" fillId="11" borderId="9" applyAlignment="1" pivotButton="0" quotePrefix="0" xfId="23">
      <alignment horizontal="center"/>
    </xf>
    <xf numFmtId="0" fontId="25" fillId="0" borderId="8" applyAlignment="1" pivotButton="0" quotePrefix="0" xfId="17">
      <alignment horizontal="center" vertical="center" wrapText="1"/>
    </xf>
    <xf numFmtId="0" fontId="25" fillId="11" borderId="14" applyAlignment="1" pivotButton="0" quotePrefix="0" xfId="17">
      <alignment horizontal="center" vertical="center" wrapText="1"/>
    </xf>
    <xf numFmtId="0" fontId="25" fillId="11" borderId="9" applyAlignment="1" pivotButton="0" quotePrefix="0" xfId="17">
      <alignment horizontal="center" vertical="center" wrapText="1"/>
    </xf>
    <xf numFmtId="0" fontId="25" fillId="0" borderId="49" applyAlignment="1" pivotButton="0" quotePrefix="0" xfId="0">
      <alignment horizontal="center" vertical="center" wrapText="1"/>
    </xf>
    <xf numFmtId="0" fontId="25" fillId="11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11" borderId="14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4" fillId="11" borderId="11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center" vertical="center"/>
    </xf>
    <xf numFmtId="0" fontId="13" fillId="11" borderId="1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5" fillId="11" borderId="14" applyAlignment="1" pivotButton="0" quotePrefix="0" xfId="0">
      <alignment horizontal="center" vertical="center" wrapText="1"/>
    </xf>
    <xf numFmtId="0" fontId="25" fillId="11" borderId="9" applyAlignment="1" pivotButton="0" quotePrefix="0" xfId="0">
      <alignment horizontal="center" vertical="center" wrapText="1"/>
    </xf>
    <xf numFmtId="0" fontId="20" fillId="0" borderId="49" applyAlignment="1" pivotButton="0" quotePrefix="0" xfId="0">
      <alignment horizontal="center" vertical="center"/>
    </xf>
    <xf numFmtId="0" fontId="20" fillId="11" borderId="11" applyAlignment="1" pivotButton="0" quotePrefix="0" xfId="0">
      <alignment horizontal="center" vertical="center"/>
    </xf>
    <xf numFmtId="0" fontId="25" fillId="0" borderId="49" applyAlignment="1" pivotButton="0" quotePrefix="0" xfId="0">
      <alignment horizontal="center" vertical="center"/>
    </xf>
    <xf numFmtId="0" fontId="25" fillId="11" borderId="13" applyAlignment="1" pivotButton="0" quotePrefix="0" xfId="0">
      <alignment horizontal="center" vertical="center"/>
    </xf>
    <xf numFmtId="0" fontId="25" fillId="11" borderId="11" applyAlignment="1" pivotButton="0" quotePrefix="0" xfId="0">
      <alignment horizontal="center" vertical="center"/>
    </xf>
    <xf numFmtId="0" fontId="25" fillId="11" borderId="13" applyAlignment="1" pivotButton="0" quotePrefix="0" xfId="0">
      <alignment horizontal="center" vertical="center" wrapText="1"/>
    </xf>
    <xf numFmtId="0" fontId="25" fillId="0" borderId="49" applyAlignment="1" pivotButton="0" quotePrefix="0" xfId="17">
      <alignment horizontal="center" vertical="center" wrapText="1"/>
    </xf>
    <xf numFmtId="0" fontId="25" fillId="11" borderId="13" applyAlignment="1" pivotButton="0" quotePrefix="0" xfId="17">
      <alignment horizontal="center" vertical="center" wrapText="1"/>
    </xf>
    <xf numFmtId="0" fontId="25" fillId="11" borderId="11" applyAlignment="1" pivotButton="0" quotePrefix="0" xfId="17">
      <alignment horizontal="center" vertical="center" wrapText="1"/>
    </xf>
    <xf numFmtId="0" fontId="25" fillId="0" borderId="51" applyAlignment="1" pivotButton="0" quotePrefix="0" xfId="17">
      <alignment horizontal="center" vertical="center" wrapText="1"/>
    </xf>
    <xf numFmtId="0" fontId="25" fillId="11" borderId="52" applyAlignment="1" pivotButton="0" quotePrefix="0" xfId="17">
      <alignment horizontal="center" vertical="center" wrapText="1"/>
    </xf>
    <xf numFmtId="0" fontId="25" fillId="11" borderId="50" applyAlignment="1" pivotButton="0" quotePrefix="0" xfId="17">
      <alignment horizontal="center" vertical="center" wrapText="1"/>
    </xf>
    <xf numFmtId="0" fontId="25" fillId="0" borderId="8" applyAlignment="1" pivotButton="0" quotePrefix="0" xfId="0">
      <alignment horizontal="center" vertical="center"/>
    </xf>
    <xf numFmtId="0" fontId="25" fillId="11" borderId="14" applyAlignment="1" pivotButton="0" quotePrefix="0" xfId="0">
      <alignment horizontal="center" vertical="center"/>
    </xf>
    <xf numFmtId="0" fontId="25" fillId="11" borderId="9" applyAlignment="1" pivotButton="0" quotePrefix="0" xfId="0">
      <alignment horizontal="center" vertical="center"/>
    </xf>
    <xf numFmtId="0" fontId="13" fillId="9" borderId="8" applyAlignment="1" applyProtection="1" pivotButton="0" quotePrefix="0" xfId="0">
      <alignment horizontal="center" vertical="center" wrapText="1"/>
      <protection locked="0" hidden="0"/>
    </xf>
    <xf numFmtId="0" fontId="13" fillId="9" borderId="9" applyAlignment="1" applyProtection="1" pivotButton="0" quotePrefix="0" xfId="0">
      <alignment horizontal="center" vertical="center" wrapText="1"/>
      <protection locked="0" hidden="0"/>
    </xf>
    <xf numFmtId="0" fontId="25" fillId="0" borderId="7" applyAlignment="1" pivotButton="0" quotePrefix="0" xfId="17">
      <alignment horizontal="left" vertical="center" wrapText="1"/>
    </xf>
    <xf numFmtId="0" fontId="25" fillId="11" borderId="7" applyAlignment="1" pivotButton="0" quotePrefix="0" xfId="17">
      <alignment horizontal="left" vertical="center" wrapText="1"/>
    </xf>
    <xf numFmtId="0" fontId="25" fillId="0" borderId="7" applyAlignment="1" pivotButton="0" quotePrefix="0" xfId="17">
      <alignment horizontal="center" vertical="center" wrapText="1"/>
    </xf>
    <xf numFmtId="0" fontId="25" fillId="11" borderId="7" applyAlignment="1" pivotButton="0" quotePrefix="0" xfId="17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0" fontId="24" fillId="11" borderId="7" applyAlignment="1" pivotButton="0" quotePrefix="0" xfId="0">
      <alignment horizontal="center" vertical="center" wrapText="1"/>
    </xf>
    <xf numFmtId="0" fontId="24" fillId="11" borderId="13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top" wrapText="1"/>
    </xf>
    <xf numFmtId="0" fontId="25" fillId="11" borderId="14" applyAlignment="1" pivotButton="0" quotePrefix="0" xfId="0">
      <alignment horizontal="center" vertical="top" wrapText="1"/>
    </xf>
    <xf numFmtId="0" fontId="25" fillId="11" borderId="9" applyAlignment="1" pivotButton="0" quotePrefix="0" xfId="0">
      <alignment horizontal="center" vertical="top" wrapText="1"/>
    </xf>
    <xf numFmtId="0" fontId="25" fillId="0" borderId="53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center" vertical="center" wrapText="1"/>
    </xf>
    <xf numFmtId="0" fontId="20" fillId="5" borderId="7" applyAlignment="1" pivotButton="0" quotePrefix="0" xfId="0">
      <alignment horizontal="left"/>
    </xf>
    <xf numFmtId="0" fontId="20" fillId="3" borderId="7" applyAlignment="1" pivotButton="0" quotePrefix="0" xfId="0">
      <alignment horizontal="left"/>
    </xf>
    <xf numFmtId="0" fontId="20" fillId="5" borderId="8" applyAlignment="1" pivotButton="0" quotePrefix="0" xfId="0">
      <alignment horizontal="left"/>
    </xf>
    <xf numFmtId="0" fontId="20" fillId="5" borderId="9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 wrapText="1"/>
    </xf>
    <xf numFmtId="0" fontId="50" fillId="0" borderId="6" applyAlignment="1" pivotButton="0" quotePrefix="0" xfId="0">
      <alignment horizontal="left" vertical="center" wrapText="1"/>
    </xf>
    <xf numFmtId="0" fontId="50" fillId="11" borderId="6" applyAlignment="1" pivotButton="0" quotePrefix="0" xfId="0">
      <alignment horizontal="left" vertical="center" wrapText="1"/>
    </xf>
    <xf numFmtId="0" fontId="25" fillId="0" borderId="8" applyAlignment="1" pivotButton="0" quotePrefix="0" xfId="27">
      <alignment horizontal="center" vertical="center" wrapText="1"/>
    </xf>
    <xf numFmtId="0" fontId="25" fillId="11" borderId="14" applyAlignment="1" pivotButton="0" quotePrefix="0" xfId="27">
      <alignment horizontal="center" vertical="center" wrapText="1"/>
    </xf>
    <xf numFmtId="0" fontId="25" fillId="11" borderId="9" applyAlignment="1" pivotButton="0" quotePrefix="0" xfId="27">
      <alignment horizontal="center" vertical="center" wrapText="1"/>
    </xf>
    <xf numFmtId="0" fontId="20" fillId="3" borderId="8" applyAlignment="1" pivotButton="0" quotePrefix="0" xfId="0">
      <alignment horizontal="left"/>
    </xf>
    <xf numFmtId="0" fontId="20" fillId="3" borderId="9" applyAlignment="1" pivotButton="0" quotePrefix="0" xfId="0">
      <alignment horizontal="left"/>
    </xf>
    <xf numFmtId="0" fontId="25" fillId="0" borderId="49" applyAlignment="1" pivotButton="0" quotePrefix="0" xfId="0">
      <alignment horizontal="left" vertical="center"/>
    </xf>
    <xf numFmtId="0" fontId="25" fillId="11" borderId="13" applyAlignment="1" pivotButton="0" quotePrefix="0" xfId="0">
      <alignment horizontal="left" vertical="center"/>
    </xf>
    <xf numFmtId="0" fontId="25" fillId="11" borderId="11" applyAlignment="1" pivotButton="0" quotePrefix="0" xfId="0">
      <alignment horizontal="left" vertical="center"/>
    </xf>
    <xf numFmtId="0" fontId="24" fillId="2" borderId="49" applyAlignment="1" pivotButton="0" quotePrefix="0" xfId="27">
      <alignment horizontal="center" vertical="center" wrapText="1"/>
    </xf>
    <xf numFmtId="0" fontId="24" fillId="11" borderId="11" applyAlignment="1" pivotButton="0" quotePrefix="0" xfId="27">
      <alignment horizontal="center" vertical="center" wrapText="1"/>
    </xf>
    <xf numFmtId="0" fontId="24" fillId="2" borderId="51" applyAlignment="1" pivotButton="0" quotePrefix="0" xfId="27">
      <alignment horizontal="center" vertical="center" wrapText="1"/>
    </xf>
    <xf numFmtId="0" fontId="24" fillId="11" borderId="50" applyAlignment="1" pivotButton="0" quotePrefix="0" xfId="27">
      <alignment horizontal="center" vertical="center" wrapText="1"/>
    </xf>
    <xf numFmtId="171" fontId="20" fillId="5" borderId="7" applyAlignment="1" pivotButton="0" quotePrefix="0" xfId="0">
      <alignment horizontal="left"/>
    </xf>
    <xf numFmtId="0" fontId="25" fillId="0" borderId="7" applyAlignment="1" pivotButton="0" quotePrefix="0" xfId="0">
      <alignment horizontal="center" vertical="center"/>
    </xf>
    <xf numFmtId="0" fontId="25" fillId="11" borderId="7" applyAlignment="1" pivotButton="0" quotePrefix="0" xfId="0">
      <alignment horizontal="center" vertical="center"/>
    </xf>
    <xf numFmtId="0" fontId="25" fillId="2" borderId="7" applyAlignment="1" pivotButton="0" quotePrefix="0" xfId="17">
      <alignment horizontal="center" vertical="center" wrapText="1"/>
    </xf>
    <xf numFmtId="0" fontId="20" fillId="2" borderId="0" applyAlignment="1" pivotButton="0" quotePrefix="0" xfId="0">
      <alignment horizontal="left" vertical="top" wrapText="1"/>
    </xf>
    <xf numFmtId="171" fontId="20" fillId="5" borderId="8" applyAlignment="1" pivotButton="0" quotePrefix="0" xfId="0">
      <alignment horizontal="left"/>
    </xf>
    <xf numFmtId="171" fontId="20" fillId="5" borderId="9" applyAlignment="1" pivotButton="0" quotePrefix="0" xfId="0">
      <alignment horizontal="left"/>
    </xf>
    <xf numFmtId="0" fontId="13" fillId="2" borderId="7" applyAlignment="1" pivotButton="0" quotePrefix="0" xfId="17">
      <alignment horizontal="center" vertical="center" wrapText="1"/>
    </xf>
    <xf numFmtId="0" fontId="13" fillId="11" borderId="7" applyAlignment="1" pivotButton="0" quotePrefix="0" xfId="17">
      <alignment horizontal="center" vertical="center" wrapText="1"/>
    </xf>
    <xf numFmtId="0" fontId="13" fillId="5" borderId="8" applyAlignment="1" pivotButton="0" quotePrefix="0" xfId="0">
      <alignment horizontal="left"/>
    </xf>
    <xf numFmtId="0" fontId="13" fillId="5" borderId="9" applyAlignment="1" pivotButton="0" quotePrefix="0" xfId="0">
      <alignment horizontal="left"/>
    </xf>
    <xf numFmtId="171" fontId="13" fillId="5" borderId="8" applyAlignment="1" pivotButton="0" quotePrefix="0" xfId="0">
      <alignment horizontal="left"/>
    </xf>
    <xf numFmtId="171" fontId="13" fillId="5" borderId="9" applyAlignment="1" pivotButton="0" quotePrefix="0" xfId="0">
      <alignment horizontal="left"/>
    </xf>
    <xf numFmtId="0" fontId="13" fillId="3" borderId="8" applyAlignment="1" pivotButton="0" quotePrefix="0" xfId="0">
      <alignment horizontal="left"/>
    </xf>
    <xf numFmtId="0" fontId="13" fillId="3" borderId="9" applyAlignment="1" pivotButton="0" quotePrefix="0" xfId="0">
      <alignment horizontal="left"/>
    </xf>
    <xf numFmtId="0" fontId="25" fillId="0" borderId="8" applyAlignment="1" pivotButton="0" quotePrefix="0" xfId="17">
      <alignment horizontal="left" vertical="center"/>
    </xf>
    <xf numFmtId="0" fontId="25" fillId="11" borderId="9" applyAlignment="1" pivotButton="0" quotePrefix="0" xfId="17">
      <alignment horizontal="left" vertical="center"/>
    </xf>
    <xf numFmtId="3" fontId="13" fillId="4" borderId="8" applyAlignment="1" applyProtection="1" pivotButton="0" quotePrefix="0" xfId="22">
      <alignment horizontal="center" vertical="center" wrapText="1"/>
      <protection locked="0" hidden="0"/>
    </xf>
    <xf numFmtId="3" fontId="13" fillId="4" borderId="9" applyAlignment="1" applyProtection="1" pivotButton="0" quotePrefix="0" xfId="22">
      <alignment horizontal="center" vertical="center" wrapText="1"/>
      <protection locked="0" hidden="0"/>
    </xf>
    <xf numFmtId="0" fontId="25" fillId="4" borderId="8" applyAlignment="1" applyProtection="1" pivotButton="0" quotePrefix="0" xfId="17">
      <alignment horizontal="center" vertical="center" wrapText="1"/>
      <protection locked="0" hidden="0"/>
    </xf>
    <xf numFmtId="0" fontId="25" fillId="4" borderId="14" applyAlignment="1" applyProtection="1" pivotButton="0" quotePrefix="0" xfId="17">
      <alignment horizontal="center" vertical="center" wrapText="1"/>
      <protection locked="0" hidden="0"/>
    </xf>
    <xf numFmtId="0" fontId="25" fillId="4" borderId="9" applyAlignment="1" applyProtection="1" pivotButton="0" quotePrefix="0" xfId="17">
      <alignment horizontal="center" vertical="center" wrapText="1"/>
      <protection locked="0" hidden="0"/>
    </xf>
    <xf numFmtId="0" fontId="13" fillId="0" borderId="0" applyAlignment="1" pivotButton="0" quotePrefix="0" xfId="17">
      <alignment horizontal="left" vertical="top" wrapText="1"/>
    </xf>
    <xf numFmtId="0" fontId="13" fillId="11" borderId="0" applyAlignment="1" pivotButton="0" quotePrefix="0" xfId="17">
      <alignment horizontal="left" vertical="top" wrapText="1"/>
    </xf>
    <xf numFmtId="0" fontId="20" fillId="0" borderId="50" applyAlignment="1" pivotButton="0" quotePrefix="0" xfId="29">
      <alignment horizontal="left"/>
    </xf>
    <xf numFmtId="0" fontId="20" fillId="11" borderId="12" applyAlignment="1" pivotButton="0" quotePrefix="0" xfId="29">
      <alignment horizontal="left"/>
    </xf>
    <xf numFmtId="0" fontId="13" fillId="0" borderId="52" applyAlignment="1" pivotButton="0" quotePrefix="0" xfId="29">
      <alignment wrapText="1"/>
    </xf>
    <xf numFmtId="0" fontId="13" fillId="11" borderId="54" applyAlignment="1" pivotButton="0" quotePrefix="0" xfId="29">
      <alignment wrapText="1"/>
    </xf>
    <xf numFmtId="0" fontId="20" fillId="0" borderId="8" applyAlignment="1" pivotButton="0" quotePrefix="0" xfId="29">
      <alignment horizontal="left"/>
    </xf>
    <xf numFmtId="0" fontId="20" fillId="11" borderId="9" applyAlignment="1" pivotButton="0" quotePrefix="0" xfId="29">
      <alignment horizontal="left"/>
    </xf>
    <xf numFmtId="0" fontId="20" fillId="0" borderId="51" applyAlignment="1" pivotButton="0" quotePrefix="0" xfId="29">
      <alignment horizontal="left"/>
    </xf>
    <xf numFmtId="0" fontId="20" fillId="11" borderId="53" applyAlignment="1" pivotButton="0" quotePrefix="0" xfId="29">
      <alignment horizontal="left"/>
    </xf>
    <xf numFmtId="0" fontId="25" fillId="2" borderId="8" applyAlignment="1" pivotButton="0" quotePrefix="0" xfId="17">
      <alignment horizontal="left" vertical="center" wrapText="1"/>
    </xf>
    <xf numFmtId="0" fontId="13" fillId="0" borderId="51" applyAlignment="1" pivotButton="0" quotePrefix="0" xfId="29">
      <alignment wrapText="1"/>
    </xf>
    <xf numFmtId="0" fontId="13" fillId="11" borderId="53" applyAlignment="1" pivotButton="0" quotePrefix="0" xfId="29">
      <alignment wrapText="1"/>
    </xf>
    <xf numFmtId="3" fontId="13" fillId="15" borderId="7" applyAlignment="1" pivotButton="0" quotePrefix="0" xfId="31">
      <alignment horizontal="center"/>
    </xf>
    <xf numFmtId="0" fontId="25" fillId="2" borderId="8" applyAlignment="1" pivotButton="0" quotePrefix="0" xfId="17">
      <alignment horizontal="center" vertical="center" wrapText="1"/>
    </xf>
    <xf numFmtId="0" fontId="25" fillId="2" borderId="49" applyAlignment="1" pivotButton="0" quotePrefix="0" xfId="17">
      <alignment horizontal="center" vertical="center" wrapText="1"/>
    </xf>
    <xf numFmtId="0" fontId="25" fillId="2" borderId="51" applyAlignment="1" pivotButton="0" quotePrefix="0" xfId="17">
      <alignment horizontal="center" vertical="center" wrapText="1"/>
    </xf>
    <xf numFmtId="0" fontId="25" fillId="11" borderId="53" applyAlignment="1" pivotButton="0" quotePrefix="0" xfId="17">
      <alignment horizontal="center" vertical="center" wrapText="1"/>
    </xf>
    <xf numFmtId="0" fontId="25" fillId="11" borderId="12" applyAlignment="1" pivotButton="0" quotePrefix="0" xfId="17">
      <alignment horizontal="center" vertical="center" wrapText="1"/>
    </xf>
    <xf numFmtId="3" fontId="13" fillId="3" borderId="8" applyAlignment="1" pivotButton="0" quotePrefix="0" xfId="22">
      <alignment horizontal="center" vertical="center"/>
    </xf>
    <xf numFmtId="3" fontId="13" fillId="3" borderId="14" applyAlignment="1" pivotButton="0" quotePrefix="0" xfId="22">
      <alignment horizontal="center" vertical="center"/>
    </xf>
    <xf numFmtId="3" fontId="13" fillId="15" borderId="7" applyAlignment="1" pivotButton="0" quotePrefix="0" xfId="31">
      <alignment horizontal="center" vertical="center"/>
    </xf>
    <xf numFmtId="9" fontId="13" fillId="15" borderId="7" applyAlignment="1" pivotButton="0" quotePrefix="0" xfId="31">
      <alignment horizontal="center" vertical="center"/>
    </xf>
    <xf numFmtId="9" fontId="13" fillId="15" borderId="49" applyAlignment="1" pivotButton="0" quotePrefix="0" xfId="31">
      <alignment horizontal="center" vertical="center"/>
    </xf>
    <xf numFmtId="9" fontId="13" fillId="5" borderId="8" applyAlignment="1" pivotButton="0" quotePrefix="0" xfId="22">
      <alignment horizontal="center" vertical="center"/>
    </xf>
    <xf numFmtId="9" fontId="13" fillId="5" borderId="9" applyAlignment="1" pivotButton="0" quotePrefix="0" xfId="22">
      <alignment horizontal="center" vertical="center"/>
    </xf>
    <xf numFmtId="0" fontId="25" fillId="2" borderId="8" applyAlignment="1" pivotButton="0" quotePrefix="0" xfId="17">
      <alignment horizontal="left" vertical="center"/>
    </xf>
    <xf numFmtId="3" fontId="25" fillId="5" borderId="8" applyAlignment="1" pivotButton="0" quotePrefix="0" xfId="32">
      <alignment horizontal="center" vertical="center"/>
    </xf>
    <xf numFmtId="3" fontId="25" fillId="5" borderId="9" applyAlignment="1" pivotButton="0" quotePrefix="0" xfId="32">
      <alignment horizontal="center" vertical="center"/>
    </xf>
    <xf numFmtId="0" fontId="13" fillId="0" borderId="8" applyAlignment="1" pivotButton="0" quotePrefix="0" xfId="17">
      <alignment horizontal="left" vertical="center"/>
    </xf>
    <xf numFmtId="0" fontId="13" fillId="11" borderId="9" applyAlignment="1" pivotButton="0" quotePrefix="0" xfId="17">
      <alignment horizontal="left" vertical="center"/>
    </xf>
    <xf numFmtId="0" fontId="49" fillId="4" borderId="52" applyAlignment="1" applyProtection="1" pivotButton="0" quotePrefix="0" xfId="17">
      <alignment horizontal="left" vertical="center" wrapText="1"/>
      <protection locked="0" hidden="0"/>
    </xf>
    <xf numFmtId="0" fontId="49" fillId="4" borderId="54" applyAlignment="1" applyProtection="1" pivotButton="0" quotePrefix="0" xfId="17">
      <alignment horizontal="left" vertical="center" wrapText="1"/>
      <protection locked="0" hidden="0"/>
    </xf>
    <xf numFmtId="0" fontId="49" fillId="0" borderId="52" applyAlignment="1" pivotButton="0" quotePrefix="0" xfId="17">
      <alignment horizontal="left" vertical="center" wrapText="1"/>
    </xf>
    <xf numFmtId="0" fontId="49" fillId="11" borderId="54" applyAlignment="1" pivotButton="0" quotePrefix="0" xfId="17">
      <alignment horizontal="left" vertical="center" wrapText="1"/>
    </xf>
    <xf numFmtId="0" fontId="49" fillId="0" borderId="52" applyAlignment="1" pivotButton="0" quotePrefix="0" xfId="29">
      <alignment horizontal="left" vertical="top" wrapText="1"/>
    </xf>
    <xf numFmtId="0" fontId="49" fillId="11" borderId="0" applyAlignment="1" pivotButton="0" quotePrefix="0" xfId="29">
      <alignment horizontal="left" vertical="top" wrapText="1"/>
    </xf>
    <xf numFmtId="0" fontId="25" fillId="2" borderId="49" applyAlignment="1" pivotButton="0" quotePrefix="0" xfId="29">
      <alignment horizontal="center" vertical="center" wrapText="1"/>
    </xf>
    <xf numFmtId="0" fontId="25" fillId="11" borderId="13" applyAlignment="1" pivotButton="0" quotePrefix="0" xfId="29">
      <alignment horizontal="center" vertical="center" wrapText="1"/>
    </xf>
    <xf numFmtId="0" fontId="25" fillId="11" borderId="11" applyAlignment="1" pivotButton="0" quotePrefix="0" xfId="29">
      <alignment horizontal="center" vertical="center" wrapText="1"/>
    </xf>
    <xf numFmtId="0" fontId="24" fillId="2" borderId="49" applyAlignment="1" pivotButton="0" quotePrefix="0" xfId="29">
      <alignment horizontal="center" vertical="center" wrapText="1"/>
    </xf>
    <xf numFmtId="0" fontId="24" fillId="11" borderId="13" applyAlignment="1" pivotButton="0" quotePrefix="0" xfId="29">
      <alignment horizontal="center" vertical="center" wrapText="1"/>
    </xf>
    <xf numFmtId="0" fontId="24" fillId="11" borderId="11" applyAlignment="1" pivotButton="0" quotePrefix="0" xfId="29">
      <alignment horizontal="center" vertical="center" wrapText="1"/>
    </xf>
    <xf numFmtId="0" fontId="13" fillId="11" borderId="14" applyAlignment="1" pivotButton="0" quotePrefix="0" xfId="17">
      <alignment horizontal="left" vertical="center"/>
    </xf>
    <xf numFmtId="165" fontId="13" fillId="7" borderId="8" applyAlignment="1" applyProtection="1" pivotButton="0" quotePrefix="0" xfId="22">
      <alignment horizontal="center" vertical="center" wrapText="1"/>
      <protection locked="0" hidden="0"/>
    </xf>
    <xf numFmtId="165" fontId="13" fillId="7" borderId="9" applyAlignment="1" applyProtection="1" pivotButton="0" quotePrefix="0" xfId="22">
      <alignment horizontal="center" vertical="center" wrapText="1"/>
      <protection locked="0" hidden="0"/>
    </xf>
    <xf numFmtId="0" fontId="13" fillId="5" borderId="7" applyAlignment="1" pivotButton="0" quotePrefix="0" xfId="0">
      <alignment horizontal="left"/>
    </xf>
    <xf numFmtId="0" fontId="13" fillId="3" borderId="7" applyAlignment="1" pivotButton="0" quotePrefix="0" xfId="0">
      <alignment horizontal="left"/>
    </xf>
    <xf numFmtId="0" fontId="13" fillId="8" borderId="7" applyAlignment="1" pivotButton="0" quotePrefix="0" xfId="0">
      <alignment horizontal="left"/>
    </xf>
    <xf numFmtId="0" fontId="13" fillId="4" borderId="7" applyAlignment="1" applyProtection="1" pivotButton="0" quotePrefix="0" xfId="20">
      <alignment horizontal="center" vertical="center" wrapText="1"/>
      <protection locked="0" hidden="0"/>
    </xf>
    <xf numFmtId="0" fontId="13" fillId="4" borderId="8" applyAlignment="1" applyProtection="1" pivotButton="0" quotePrefix="0" xfId="20">
      <alignment horizontal="center" vertical="center" wrapText="1"/>
      <protection locked="0" hidden="0"/>
    </xf>
    <xf numFmtId="0" fontId="13" fillId="4" borderId="14" applyAlignment="1" applyProtection="1" pivotButton="0" quotePrefix="0" xfId="20">
      <alignment horizontal="center" vertical="center" wrapText="1"/>
      <protection locked="0" hidden="0"/>
    </xf>
    <xf numFmtId="0" fontId="13" fillId="4" borderId="9" applyAlignment="1" applyProtection="1" pivotButton="0" quotePrefix="0" xfId="20">
      <alignment horizontal="center" vertical="center" wrapText="1"/>
      <protection locked="0" hidden="0"/>
    </xf>
    <xf numFmtId="0" fontId="13" fillId="4" borderId="51" applyAlignment="1" applyProtection="1" pivotButton="0" quotePrefix="0" xfId="20">
      <alignment horizontal="center" vertical="center" wrapText="1"/>
      <protection locked="0" hidden="0"/>
    </xf>
    <xf numFmtId="0" fontId="13" fillId="4" borderId="10" applyAlignment="1" applyProtection="1" pivotButton="0" quotePrefix="0" xfId="20">
      <alignment horizontal="center" vertical="center" wrapText="1"/>
      <protection locked="0" hidden="0"/>
    </xf>
    <xf numFmtId="0" fontId="13" fillId="4" borderId="53" applyAlignment="1" applyProtection="1" pivotButton="0" quotePrefix="0" xfId="20">
      <alignment horizontal="center" vertical="center" wrapText="1"/>
      <protection locked="0" hidden="0"/>
    </xf>
    <xf numFmtId="3" fontId="13" fillId="0" borderId="0" applyAlignment="1" pivotButton="0" quotePrefix="0" xfId="13">
      <alignment horizontal="center" vertical="center"/>
    </xf>
    <xf numFmtId="3" fontId="13" fillId="11" borderId="0" applyAlignment="1" pivotButton="0" quotePrefix="0" xfId="13">
      <alignment horizontal="center" vertical="center"/>
    </xf>
    <xf numFmtId="0" fontId="25" fillId="11" borderId="10" applyAlignment="1" pivotButton="0" quotePrefix="0" xfId="17">
      <alignment horizontal="center" vertical="center" wrapText="1"/>
    </xf>
    <xf numFmtId="0" fontId="49" fillId="11" borderId="49" applyAlignment="1" pivotButton="0" quotePrefix="0" xfId="0">
      <alignment horizontal="center" vertical="center" wrapText="1"/>
    </xf>
    <xf numFmtId="0" fontId="49" fillId="11" borderId="11" applyAlignment="1" pivotButton="0" quotePrefix="0" xfId="0">
      <alignment horizontal="center" vertical="center" wrapText="1"/>
    </xf>
    <xf numFmtId="0" fontId="25" fillId="11" borderId="49" applyAlignment="1" pivotButton="0" quotePrefix="0" xfId="0">
      <alignment horizontal="center" vertical="center" wrapText="1"/>
    </xf>
    <xf numFmtId="0" fontId="24" fillId="0" borderId="49" applyAlignment="1" pivotButton="0" quotePrefix="0" xfId="8">
      <alignment horizontal="center" vertical="center"/>
    </xf>
    <xf numFmtId="0" fontId="24" fillId="11" borderId="11" applyAlignment="1" pivotButton="0" quotePrefix="0" xfId="8">
      <alignment horizontal="center" vertical="center"/>
    </xf>
    <xf numFmtId="0" fontId="25" fillId="0" borderId="8" applyAlignment="1" pivotButton="0" quotePrefix="0" xfId="8">
      <alignment horizontal="center" vertical="center"/>
    </xf>
    <xf numFmtId="0" fontId="25" fillId="11" borderId="14" applyAlignment="1" pivotButton="0" quotePrefix="0" xfId="8">
      <alignment horizontal="center" vertical="center"/>
    </xf>
    <xf numFmtId="0" fontId="25" fillId="11" borderId="9" applyAlignment="1" pivotButton="0" quotePrefix="0" xfId="8">
      <alignment horizontal="center" vertical="center"/>
    </xf>
    <xf numFmtId="0" fontId="24" fillId="0" borderId="49" applyAlignment="1" pivotButton="0" quotePrefix="0" xfId="8">
      <alignment horizontal="center" vertical="center" wrapText="1"/>
    </xf>
    <xf numFmtId="0" fontId="24" fillId="11" borderId="11" applyAlignment="1" pivotButton="0" quotePrefix="0" xfId="8">
      <alignment horizontal="center" vertical="center" wrapText="1"/>
    </xf>
    <xf numFmtId="0" fontId="25" fillId="0" borderId="49" applyAlignment="1" pivotButton="0" quotePrefix="0" xfId="8">
      <alignment horizontal="center" vertical="center"/>
    </xf>
    <xf numFmtId="0" fontId="25" fillId="11" borderId="11" applyAlignment="1" pivotButton="0" quotePrefix="0" xfId="8">
      <alignment horizontal="center" vertical="center"/>
    </xf>
    <xf numFmtId="0" fontId="13" fillId="0" borderId="49" applyAlignment="1" pivotButton="0" quotePrefix="0" xfId="8">
      <alignment horizontal="center"/>
    </xf>
    <xf numFmtId="0" fontId="13" fillId="11" borderId="11" applyAlignment="1" pivotButton="0" quotePrefix="0" xfId="8">
      <alignment horizontal="center"/>
    </xf>
    <xf numFmtId="0" fontId="25" fillId="0" borderId="49" applyAlignment="1" pivotButton="0" quotePrefix="0" xfId="8">
      <alignment horizontal="center" vertical="center" wrapText="1"/>
    </xf>
    <xf numFmtId="0" fontId="25" fillId="11" borderId="11" applyAlignment="1" pivotButton="0" quotePrefix="0" xfId="8">
      <alignment horizontal="center" vertical="center" wrapText="1"/>
    </xf>
    <xf numFmtId="0" fontId="20" fillId="0" borderId="49" applyAlignment="1" pivotButton="0" quotePrefix="0" xfId="0">
      <alignment horizontal="center" vertical="top"/>
    </xf>
    <xf numFmtId="0" fontId="20" fillId="11" borderId="11" applyAlignment="1" pivotButton="0" quotePrefix="0" xfId="0">
      <alignment horizontal="center" vertical="top"/>
    </xf>
    <xf numFmtId="0" fontId="24" fillId="0" borderId="8" applyAlignment="1" pivotButton="0" quotePrefix="0" xfId="0">
      <alignment horizontal="center"/>
    </xf>
    <xf numFmtId="0" fontId="24" fillId="11" borderId="14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0" fillId="0" borderId="7" applyAlignment="1" pivotButton="0" quotePrefix="0" xfId="0">
      <alignment horizontal="left" vertical="center"/>
    </xf>
    <xf numFmtId="0" fontId="20" fillId="11" borderId="7" applyAlignment="1" pivotButton="0" quotePrefix="0" xfId="0">
      <alignment horizontal="left" vertical="center"/>
    </xf>
    <xf numFmtId="0" fontId="24" fillId="0" borderId="8" applyAlignment="1" pivotButton="0" quotePrefix="0" xfId="0">
      <alignment horizontal="center" vertical="center" wrapText="1"/>
    </xf>
    <xf numFmtId="0" fontId="24" fillId="11" borderId="14" applyAlignment="1" pivotButton="0" quotePrefix="0" xfId="0">
      <alignment horizontal="center" vertical="center" wrapText="1"/>
    </xf>
    <xf numFmtId="0" fontId="24" fillId="11" borderId="9" applyAlignment="1" pivotButton="0" quotePrefix="0" xfId="0">
      <alignment horizontal="center" vertical="center" wrapText="1"/>
    </xf>
    <xf numFmtId="0" fontId="25" fillId="12" borderId="6" applyAlignment="1" pivotButton="0" quotePrefix="0" xfId="0">
      <alignment horizontal="left"/>
    </xf>
    <xf numFmtId="0" fontId="43" fillId="0" borderId="28" applyAlignment="1" pivotButton="0" quotePrefix="0" xfId="0">
      <alignment vertical="center"/>
    </xf>
    <xf numFmtId="0" fontId="43" fillId="11" borderId="30" applyAlignment="1" pivotButton="0" quotePrefix="0" xfId="0">
      <alignment vertical="center"/>
    </xf>
    <xf numFmtId="0" fontId="20" fillId="0" borderId="49" applyAlignment="1" pivotButton="0" quotePrefix="0" xfId="0">
      <alignment horizontal="center"/>
    </xf>
    <xf numFmtId="0" fontId="20" fillId="11" borderId="11" applyAlignment="1" pivotButton="0" quotePrefix="0" xfId="0">
      <alignment horizontal="center"/>
    </xf>
    <xf numFmtId="0" fontId="24" fillId="0" borderId="49" applyAlignment="1" pivotButton="0" quotePrefix="0" xfId="0">
      <alignment horizontal="center"/>
    </xf>
    <xf numFmtId="0" fontId="24" fillId="11" borderId="11" applyAlignment="1" pivotButton="0" quotePrefix="0" xfId="0">
      <alignment horizontal="center"/>
    </xf>
    <xf numFmtId="0" fontId="24" fillId="0" borderId="7" applyAlignment="1" pivotButton="0" quotePrefix="0" xfId="0">
      <alignment horizontal="center" vertical="center"/>
    </xf>
    <xf numFmtId="0" fontId="24" fillId="11" borderId="7" applyAlignment="1" pivotButton="0" quotePrefix="0" xfId="0">
      <alignment horizontal="center" vertical="center"/>
    </xf>
    <xf numFmtId="0" fontId="25" fillId="0" borderId="49" applyAlignment="1" pivotButton="0" quotePrefix="0" xfId="0">
      <alignment vertical="center"/>
    </xf>
    <xf numFmtId="0" fontId="25" fillId="11" borderId="13" applyAlignment="1" pivotButton="0" quotePrefix="0" xfId="0">
      <alignment vertical="center"/>
    </xf>
    <xf numFmtId="0" fontId="25" fillId="11" borderId="11" applyAlignment="1" pivotButton="0" quotePrefix="0" xfId="0">
      <alignment vertical="center"/>
    </xf>
    <xf numFmtId="0" fontId="25" fillId="0" borderId="8" applyAlignment="1" pivotButton="0" quotePrefix="0" xfId="17">
      <alignment horizontal="center" vertical="center"/>
    </xf>
    <xf numFmtId="0" fontId="25" fillId="11" borderId="14" applyAlignment="1" pivotButton="0" quotePrefix="0" xfId="17">
      <alignment horizontal="center" vertical="center"/>
    </xf>
    <xf numFmtId="0" fontId="25" fillId="11" borderId="9" applyAlignment="1" pivotButton="0" quotePrefix="0" xfId="17">
      <alignment horizontal="center" vertical="center"/>
    </xf>
    <xf numFmtId="0" fontId="24" fillId="0" borderId="51" applyAlignment="1" pivotButton="0" quotePrefix="0" xfId="0">
      <alignment horizontal="center"/>
    </xf>
    <xf numFmtId="0" fontId="24" fillId="11" borderId="10" applyAlignment="1" pivotButton="0" quotePrefix="0" xfId="0">
      <alignment horizontal="center"/>
    </xf>
    <xf numFmtId="10" fontId="25" fillId="0" borderId="8" applyAlignment="1" pivotButton="0" quotePrefix="0" xfId="17">
      <alignment horizontal="center" vertical="center" wrapText="1"/>
    </xf>
    <xf numFmtId="10" fontId="25" fillId="11" borderId="14" applyAlignment="1" pivotButton="0" quotePrefix="0" xfId="17">
      <alignment horizontal="center" vertical="center" wrapText="1"/>
    </xf>
    <xf numFmtId="10" fontId="25" fillId="11" borderId="9" applyAlignment="1" pivotButton="0" quotePrefix="0" xfId="17">
      <alignment horizontal="center" vertical="center" wrapText="1"/>
    </xf>
    <xf numFmtId="10" fontId="25" fillId="0" borderId="7" applyAlignment="1" pivotButton="0" quotePrefix="0" xfId="17">
      <alignment horizontal="center" vertical="center" wrapText="1"/>
    </xf>
    <xf numFmtId="10" fontId="25" fillId="11" borderId="7" applyAlignment="1" pivotButton="0" quotePrefix="0" xfId="17">
      <alignment horizontal="center" vertical="center" wrapText="1"/>
    </xf>
    <xf numFmtId="0" fontId="24" fillId="0" borderId="8" applyAlignment="1" pivotButton="0" quotePrefix="0" xfId="0">
      <alignment horizontal="center" vertical="center"/>
    </xf>
    <xf numFmtId="0" fontId="24" fillId="11" borderId="9" applyAlignment="1" pivotButton="0" quotePrefix="0" xfId="0">
      <alignment horizontal="center" vertical="center"/>
    </xf>
    <xf numFmtId="0" fontId="25" fillId="0" borderId="7" applyAlignment="1" pivotButton="0" quotePrefix="0" xfId="0">
      <alignment vertical="center" wrapText="1"/>
    </xf>
    <xf numFmtId="0" fontId="25" fillId="11" borderId="7" applyAlignment="1" pivotButton="0" quotePrefix="0" xfId="0">
      <alignment vertical="center" wrapText="1"/>
    </xf>
    <xf numFmtId="0" fontId="20" fillId="0" borderId="7" applyAlignment="1" pivotButton="0" quotePrefix="0" xfId="0">
      <alignment horizontal="center"/>
    </xf>
    <xf numFmtId="0" fontId="20" fillId="11" borderId="7" applyAlignment="1" pivotButton="0" quotePrefix="0" xfId="0">
      <alignment horizontal="center"/>
    </xf>
    <xf numFmtId="0" fontId="20" fillId="0" borderId="11" applyAlignment="1" pivotButton="0" quotePrefix="0" xfId="0">
      <alignment horizontal="center" wrapText="1"/>
    </xf>
    <xf numFmtId="0" fontId="20" fillId="11" borderId="7" applyAlignment="1" pivotButton="0" quotePrefix="0" xfId="0">
      <alignment horizontal="center" wrapText="1"/>
    </xf>
    <xf numFmtId="0" fontId="24" fillId="2" borderId="49" applyAlignment="1" pivotButton="0" quotePrefix="0" xfId="0">
      <alignment horizontal="center" vertical="center" wrapText="1"/>
    </xf>
    <xf numFmtId="0" fontId="13" fillId="0" borderId="52" applyAlignment="1" pivotButton="0" quotePrefix="0" xfId="17">
      <alignment horizontal="left" vertical="center" indent="2"/>
    </xf>
    <xf numFmtId="0" fontId="13" fillId="11" borderId="54" applyAlignment="1" pivotButton="0" quotePrefix="0" xfId="17">
      <alignment horizontal="left" vertical="center" indent="2"/>
    </xf>
    <xf numFmtId="0" fontId="13" fillId="0" borderId="50" applyAlignment="1" pivotButton="0" quotePrefix="0" xfId="17">
      <alignment horizontal="left" vertical="center" indent="2"/>
    </xf>
    <xf numFmtId="0" fontId="13" fillId="11" borderId="12" applyAlignment="1" pivotButton="0" quotePrefix="0" xfId="17">
      <alignment horizontal="left" vertical="center" indent="2"/>
    </xf>
    <xf numFmtId="0" fontId="25" fillId="0" borderId="8" applyAlignment="1" pivotButton="0" quotePrefix="0" xfId="23">
      <alignment horizontal="center" vertical="center" wrapText="1"/>
    </xf>
    <xf numFmtId="0" fontId="25" fillId="11" borderId="14" applyAlignment="1" pivotButton="0" quotePrefix="0" xfId="23">
      <alignment horizontal="center" vertical="center" wrapText="1"/>
    </xf>
    <xf numFmtId="0" fontId="25" fillId="11" borderId="9" applyAlignment="1" pivotButton="0" quotePrefix="0" xfId="23">
      <alignment horizontal="center" vertical="center" wrapText="1"/>
    </xf>
    <xf numFmtId="0" fontId="25" fillId="27" borderId="8" applyAlignment="1" pivotButton="0" quotePrefix="0" xfId="17">
      <alignment vertical="center" wrapText="1"/>
    </xf>
    <xf numFmtId="0" fontId="25" fillId="11" borderId="9" applyAlignment="1" pivotButton="0" quotePrefix="0" xfId="17">
      <alignment vertical="center" wrapText="1"/>
    </xf>
    <xf numFmtId="0" fontId="25" fillId="0" borderId="51" applyAlignment="1" pivotButton="0" quotePrefix="0" xfId="17">
      <alignment horizontal="left" vertical="center" indent="1"/>
    </xf>
    <xf numFmtId="0" fontId="25" fillId="11" borderId="53" applyAlignment="1" pivotButton="0" quotePrefix="0" xfId="17">
      <alignment horizontal="left" vertical="center" indent="1"/>
    </xf>
    <xf numFmtId="0" fontId="25" fillId="27" borderId="8" applyAlignment="1" pivotButton="0" quotePrefix="0" xfId="17">
      <alignment vertical="center"/>
    </xf>
    <xf numFmtId="0" fontId="25" fillId="11" borderId="9" applyAlignment="1" pivotButton="0" quotePrefix="0" xfId="17">
      <alignment vertical="center"/>
    </xf>
    <xf numFmtId="9" fontId="20" fillId="0" borderId="13" applyAlignment="1" pivotButton="0" quotePrefix="0" xfId="0">
      <alignment horizontal="center" vertical="center"/>
    </xf>
    <xf numFmtId="9" fontId="20" fillId="11" borderId="13" applyAlignment="1" pivotButton="0" quotePrefix="0" xfId="0">
      <alignment horizontal="center" vertical="center"/>
    </xf>
    <xf numFmtId="9" fontId="20" fillId="11" borderId="11" applyAlignment="1" pivotButton="0" quotePrefix="0" xfId="0">
      <alignment horizontal="center" vertical="center"/>
    </xf>
    <xf numFmtId="0" fontId="25" fillId="27" borderId="8" applyAlignment="1" pivotButton="0" quotePrefix="0" xfId="17">
      <alignment horizontal="left" vertical="center"/>
    </xf>
    <xf numFmtId="0" fontId="25" fillId="11" borderId="14" applyAlignment="1" pivotButton="0" quotePrefix="0" xfId="17">
      <alignment horizontal="left" vertical="center"/>
    </xf>
    <xf numFmtId="0" fontId="25" fillId="11" borderId="10" applyAlignment="1" pivotButton="0" quotePrefix="0" xfId="17">
      <alignment horizontal="left" vertical="center"/>
    </xf>
    <xf numFmtId="0" fontId="25" fillId="11" borderId="53" applyAlignment="1" pivotButton="0" quotePrefix="0" xfId="17">
      <alignment horizontal="left" vertical="center"/>
    </xf>
    <xf numFmtId="0" fontId="25" fillId="11" borderId="6" applyAlignment="1" pivotButton="0" quotePrefix="0" xfId="17">
      <alignment horizontal="left" vertical="center"/>
    </xf>
    <xf numFmtId="0" fontId="25" fillId="11" borderId="12" applyAlignment="1" pivotButton="0" quotePrefix="0" xfId="17">
      <alignment horizontal="left" vertical="center"/>
    </xf>
    <xf numFmtId="0" fontId="24" fillId="11" borderId="8" applyAlignment="1" pivotButton="0" quotePrefix="0" xfId="0">
      <alignment horizontal="center" vertical="center" wrapText="1"/>
    </xf>
    <xf numFmtId="0" fontId="25" fillId="2" borderId="8" applyAlignment="1" pivotButton="0" quotePrefix="0" xfId="39">
      <alignment horizontal="center" vertical="center"/>
    </xf>
    <xf numFmtId="0" fontId="25" fillId="11" borderId="14" applyAlignment="1" pivotButton="0" quotePrefix="0" xfId="39">
      <alignment horizontal="center" vertical="center"/>
    </xf>
    <xf numFmtId="0" fontId="25" fillId="11" borderId="9" applyAlignment="1" pivotButton="0" quotePrefix="0" xfId="39">
      <alignment horizontal="center" vertical="center"/>
    </xf>
    <xf numFmtId="9" fontId="20" fillId="0" borderId="49" applyAlignment="1" pivotButton="0" quotePrefix="0" xfId="0">
      <alignment horizontal="center" vertical="center"/>
    </xf>
    <xf numFmtId="0" fontId="25" fillId="0" borderId="8" applyAlignment="1" pivotButton="0" quotePrefix="0" xfId="5">
      <alignment horizontal="center" vertical="center" wrapText="1"/>
    </xf>
    <xf numFmtId="0" fontId="25" fillId="11" borderId="51" applyAlignment="1" pivotButton="0" quotePrefix="0" xfId="5">
      <alignment horizontal="center" vertical="center" wrapText="1"/>
    </xf>
    <xf numFmtId="0" fontId="25" fillId="0" borderId="53" applyAlignment="1" pivotButton="0" quotePrefix="0" xfId="17">
      <alignment horizontal="center" vertical="center" wrapText="1"/>
    </xf>
    <xf numFmtId="0" fontId="25" fillId="11" borderId="54" applyAlignment="1" pivotButton="0" quotePrefix="0" xfId="17">
      <alignment horizontal="center" vertical="center" wrapText="1"/>
    </xf>
    <xf numFmtId="0" fontId="25" fillId="0" borderId="7" applyAlignment="1" pivotButton="0" quotePrefix="0" xfId="17">
      <alignment horizontal="center" vertical="center"/>
    </xf>
    <xf numFmtId="0" fontId="25" fillId="11" borderId="7" applyAlignment="1" pivotButton="0" quotePrefix="0" xfId="17">
      <alignment horizontal="center" vertical="center"/>
    </xf>
    <xf numFmtId="0" fontId="25" fillId="0" borderId="51" applyAlignment="1" pivotButton="0" quotePrefix="0" xfId="23">
      <alignment horizontal="center" vertical="center" wrapText="1"/>
    </xf>
    <xf numFmtId="0" fontId="25" fillId="11" borderId="52" applyAlignment="1" pivotButton="0" quotePrefix="0" xfId="23">
      <alignment horizontal="center" vertical="center" wrapText="1"/>
    </xf>
    <xf numFmtId="0" fontId="25" fillId="11" borderId="50" applyAlignment="1" pivotButton="0" quotePrefix="0" xfId="23">
      <alignment horizontal="center" vertical="center" wrapText="1"/>
    </xf>
    <xf numFmtId="0" fontId="25" fillId="0" borderId="49" applyAlignment="1" pivotButton="0" quotePrefix="0" xfId="23">
      <alignment horizontal="center" vertical="center" wrapText="1"/>
    </xf>
    <xf numFmtId="0" fontId="25" fillId="11" borderId="13" applyAlignment="1" pivotButton="0" quotePrefix="0" xfId="23">
      <alignment horizontal="center" vertical="center" wrapText="1"/>
    </xf>
    <xf numFmtId="0" fontId="25" fillId="11" borderId="11" applyAlignment="1" pivotButton="0" quotePrefix="0" xfId="23">
      <alignment horizontal="center" vertical="center" wrapText="1"/>
    </xf>
    <xf numFmtId="0" fontId="13" fillId="0" borderId="51" applyAlignment="1" pivotButton="0" quotePrefix="0" xfId="17">
      <alignment horizontal="left" vertical="center" indent="2"/>
    </xf>
    <xf numFmtId="0" fontId="13" fillId="11" borderId="53" applyAlignment="1" pivotButton="0" quotePrefix="0" xfId="17">
      <alignment horizontal="left" vertical="center" indent="2"/>
    </xf>
    <xf numFmtId="0" fontId="20" fillId="0" borderId="7" applyAlignment="1" pivotButton="0" quotePrefix="0" xfId="0">
      <alignment horizontal="center" vertical="center" wrapText="1"/>
    </xf>
    <xf numFmtId="0" fontId="20" fillId="11" borderId="7" applyAlignment="1" pivotButton="0" quotePrefix="0" xfId="0">
      <alignment horizontal="center" vertical="center" wrapText="1"/>
    </xf>
    <xf numFmtId="0" fontId="25" fillId="0" borderId="52" applyAlignment="1" pivotButton="0" quotePrefix="0" xfId="17">
      <alignment horizontal="center" vertical="center" wrapText="1"/>
    </xf>
    <xf numFmtId="0" fontId="25" fillId="11" borderId="0" applyAlignment="1" pivotButton="0" quotePrefix="0" xfId="17">
      <alignment horizontal="center" vertical="center" wrapText="1"/>
    </xf>
    <xf numFmtId="0" fontId="25" fillId="11" borderId="6" applyAlignment="1" pivotButton="0" quotePrefix="0" xfId="17">
      <alignment horizontal="center" vertical="center" wrapText="1"/>
    </xf>
    <xf numFmtId="0" fontId="25" fillId="0" borderId="49" applyAlignment="1" pivotButton="0" quotePrefix="0" xfId="5">
      <alignment horizontal="center" vertical="center" wrapText="1"/>
    </xf>
    <xf numFmtId="0" fontId="25" fillId="11" borderId="11" applyAlignment="1" pivotButton="0" quotePrefix="0" xfId="5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3" fontId="13" fillId="4" borderId="7" applyAlignment="1" applyProtection="1" pivotButton="0" quotePrefix="0" xfId="13">
      <alignment horizontal="center" vertical="center" wrapText="1"/>
      <protection locked="0" hidden="0"/>
    </xf>
    <xf numFmtId="0" fontId="25" fillId="2" borderId="13" applyAlignment="1" pivotButton="0" quotePrefix="0" xfId="5">
      <alignment horizontal="center" vertical="center" wrapText="1"/>
    </xf>
    <xf numFmtId="0" fontId="24" fillId="0" borderId="49" applyAlignment="1" pivotButton="0" quotePrefix="0" xfId="28">
      <alignment horizontal="center" vertical="center"/>
    </xf>
    <xf numFmtId="0" fontId="24" fillId="11" borderId="11" applyAlignment="1" pivotButton="0" quotePrefix="0" xfId="28">
      <alignment horizontal="center" vertical="center"/>
    </xf>
    <xf numFmtId="0" fontId="24" fillId="0" borderId="7" applyAlignment="1" pivotButton="0" quotePrefix="0" xfId="28">
      <alignment horizontal="center" vertical="center"/>
    </xf>
    <xf numFmtId="0" fontId="24" fillId="11" borderId="7" applyAlignment="1" pivotButton="0" quotePrefix="0" xfId="28">
      <alignment horizontal="center" vertical="center"/>
    </xf>
    <xf numFmtId="0" fontId="53" fillId="0" borderId="0" applyAlignment="1" pivotButton="0" quotePrefix="0" xfId="42">
      <alignment horizontal="right" vertical="center"/>
    </xf>
    <xf numFmtId="0" fontId="53" fillId="11" borderId="0" applyAlignment="1" pivotButton="0" quotePrefix="0" xfId="42">
      <alignment horizontal="right" vertical="center"/>
    </xf>
    <xf numFmtId="0" fontId="25" fillId="0" borderId="7" applyAlignment="1" pivotButton="0" quotePrefix="0" xfId="5">
      <alignment horizontal="center" vertical="center" wrapText="1"/>
    </xf>
    <xf numFmtId="0" fontId="25" fillId="11" borderId="7" applyAlignment="1" pivotButton="0" quotePrefix="0" xfId="5">
      <alignment horizontal="center" vertical="center" wrapText="1"/>
    </xf>
    <xf numFmtId="0" fontId="24" fillId="0" borderId="8" applyAlignment="1" pivotButton="0" quotePrefix="0" xfId="28">
      <alignment horizontal="center" vertical="center"/>
    </xf>
    <xf numFmtId="0" fontId="24" fillId="11" borderId="14" applyAlignment="1" pivotButton="0" quotePrefix="0" xfId="28">
      <alignment horizontal="center" vertical="center"/>
    </xf>
    <xf numFmtId="0" fontId="24" fillId="11" borderId="9" applyAlignment="1" pivotButton="0" quotePrefix="0" xfId="28">
      <alignment horizontal="center" vertical="center"/>
    </xf>
    <xf numFmtId="0" fontId="24" fillId="0" borderId="7" applyAlignment="1" pivotButton="0" quotePrefix="0" xfId="28">
      <alignment horizontal="center" vertical="center" wrapText="1"/>
    </xf>
    <xf numFmtId="0" fontId="24" fillId="11" borderId="7" applyAlignment="1" pivotButton="0" quotePrefix="0" xfId="28">
      <alignment horizontal="center" vertical="center" wrapText="1"/>
    </xf>
    <xf numFmtId="0" fontId="24" fillId="0" borderId="49" applyAlignment="1" pivotButton="0" quotePrefix="0" xfId="28">
      <alignment horizontal="center" vertical="center" wrapText="1"/>
    </xf>
    <xf numFmtId="0" fontId="24" fillId="11" borderId="13" applyAlignment="1" pivotButton="0" quotePrefix="0" xfId="28">
      <alignment horizontal="center" vertical="center"/>
    </xf>
    <xf numFmtId="0" fontId="24" fillId="11" borderId="13" applyAlignment="1" pivotButton="0" quotePrefix="0" xfId="28">
      <alignment horizontal="center" vertical="center" wrapText="1"/>
    </xf>
    <xf numFmtId="0" fontId="24" fillId="11" borderId="11" applyAlignment="1" pivotButton="0" quotePrefix="0" xfId="28">
      <alignment horizontal="center" vertical="center" wrapText="1"/>
    </xf>
    <xf numFmtId="0" fontId="24" fillId="5" borderId="8" applyAlignment="1" pivotButton="0" quotePrefix="0" xfId="28">
      <alignment horizontal="center" vertical="center"/>
    </xf>
    <xf numFmtId="0" fontId="24" fillId="5" borderId="14" applyAlignment="1" pivotButton="0" quotePrefix="0" xfId="28">
      <alignment horizontal="center" vertical="center"/>
    </xf>
    <xf numFmtId="0" fontId="24" fillId="5" borderId="9" applyAlignment="1" pivotButton="0" quotePrefix="0" xfId="28">
      <alignment horizontal="center" vertical="center"/>
    </xf>
    <xf numFmtId="0" fontId="24" fillId="11" borderId="49" applyAlignment="1" pivotButton="0" quotePrefix="0" xfId="28">
      <alignment horizontal="center" vertical="center"/>
    </xf>
    <xf numFmtId="0" fontId="24" fillId="2" borderId="49" applyAlignment="1" pivotButton="0" quotePrefix="0" xfId="28">
      <alignment horizontal="center" vertical="center" wrapText="1"/>
    </xf>
    <xf numFmtId="0" fontId="24" fillId="2" borderId="8" applyAlignment="1" pivotButton="0" quotePrefix="0" xfId="28">
      <alignment horizontal="center" vertical="center"/>
    </xf>
    <xf numFmtId="0" fontId="24" fillId="2" borderId="7" applyAlignment="1" pivotButton="0" quotePrefix="0" xfId="28">
      <alignment horizontal="center" vertical="center"/>
    </xf>
    <xf numFmtId="0" fontId="25" fillId="11" borderId="49" applyAlignment="1" pivotButton="0" quotePrefix="0" xfId="5">
      <alignment horizontal="center" vertical="center" wrapText="1"/>
    </xf>
    <xf numFmtId="0" fontId="20" fillId="5" borderId="9" applyAlignment="1" pivotButton="0" quotePrefix="0" xfId="28">
      <alignment horizontal="center" vertical="center"/>
    </xf>
    <xf numFmtId="0" fontId="20" fillId="5" borderId="7" applyAlignment="1" pivotButton="0" quotePrefix="0" xfId="28">
      <alignment horizontal="center" vertical="center"/>
    </xf>
    <xf numFmtId="0" fontId="20" fillId="0" borderId="7" applyAlignment="1" pivotButton="0" quotePrefix="0" xfId="28">
      <alignment horizontal="center" vertical="center"/>
    </xf>
    <xf numFmtId="0" fontId="20" fillId="11" borderId="7" applyAlignment="1" pivotButton="0" quotePrefix="0" xfId="28">
      <alignment horizontal="center" vertical="center"/>
    </xf>
    <xf numFmtId="0" fontId="20" fillId="0" borderId="8" applyAlignment="1" pivotButton="0" quotePrefix="0" xfId="28">
      <alignment horizontal="center" vertical="center"/>
    </xf>
    <xf numFmtId="0" fontId="20" fillId="11" borderId="14" applyAlignment="1" pivotButton="0" quotePrefix="0" xfId="28">
      <alignment horizontal="center" vertical="center"/>
    </xf>
    <xf numFmtId="0" fontId="20" fillId="11" borderId="9" applyAlignment="1" pivotButton="0" quotePrefix="0" xfId="28">
      <alignment horizontal="center" vertical="center"/>
    </xf>
    <xf numFmtId="0" fontId="24" fillId="0" borderId="51" applyAlignment="1" pivotButton="0" quotePrefix="0" xfId="28">
      <alignment horizontal="center" vertical="center" wrapText="1"/>
    </xf>
    <xf numFmtId="0" fontId="24" fillId="11" borderId="53" applyAlignment="1" pivotButton="0" quotePrefix="0" xfId="28">
      <alignment horizontal="center" vertical="center" wrapText="1"/>
    </xf>
    <xf numFmtId="0" fontId="24" fillId="11" borderId="52" applyAlignment="1" pivotButton="0" quotePrefix="0" xfId="28">
      <alignment horizontal="center" vertical="center" wrapText="1"/>
    </xf>
    <xf numFmtId="0" fontId="24" fillId="11" borderId="54" applyAlignment="1" pivotButton="0" quotePrefix="0" xfId="28">
      <alignment horizontal="center" vertical="center" wrapText="1"/>
    </xf>
    <xf numFmtId="0" fontId="24" fillId="11" borderId="50" applyAlignment="1" pivotButton="0" quotePrefix="0" xfId="28">
      <alignment horizontal="center" vertical="center" wrapText="1"/>
    </xf>
    <xf numFmtId="0" fontId="24" fillId="11" borderId="12" applyAlignment="1" pivotButton="0" quotePrefix="0" xfId="28">
      <alignment horizontal="center" vertical="center" wrapText="1"/>
    </xf>
    <xf numFmtId="0" fontId="25" fillId="0" borderId="49" applyAlignment="1" pivotButton="0" quotePrefix="0" xfId="28">
      <alignment horizontal="center" vertical="center" wrapText="1"/>
    </xf>
    <xf numFmtId="0" fontId="25" fillId="11" borderId="13" applyAlignment="1" pivotButton="0" quotePrefix="0" xfId="28">
      <alignment horizontal="center" vertical="center" wrapText="1"/>
    </xf>
    <xf numFmtId="0" fontId="25" fillId="11" borderId="11" applyAlignment="1" pivotButton="0" quotePrefix="0" xfId="28">
      <alignment horizontal="center" vertical="center" wrapText="1"/>
    </xf>
    <xf numFmtId="0" fontId="24" fillId="0" borderId="14" applyAlignment="1" pivotButton="0" quotePrefix="0" xfId="0">
      <alignment horizontal="center" vertical="center"/>
    </xf>
    <xf numFmtId="0" fontId="24" fillId="11" borderId="14" applyAlignment="1" pivotButton="0" quotePrefix="0" xfId="0">
      <alignment horizontal="center" vertical="center"/>
    </xf>
    <xf numFmtId="0" fontId="20" fillId="2" borderId="52" applyAlignment="1" pivotButton="0" quotePrefix="0" xfId="0">
      <alignment vertical="center"/>
    </xf>
    <xf numFmtId="0" fontId="20" fillId="11" borderId="0" applyAlignment="1" pivotButton="0" quotePrefix="0" xfId="0">
      <alignment vertical="center"/>
    </xf>
    <xf numFmtId="0" fontId="20" fillId="11" borderId="54" applyAlignment="1" pivotButton="0" quotePrefix="0" xfId="0">
      <alignment vertical="center"/>
    </xf>
    <xf numFmtId="0" fontId="20" fillId="2" borderId="50" applyAlignment="1" pivotButton="0" quotePrefix="0" xfId="0">
      <alignment vertical="center"/>
    </xf>
    <xf numFmtId="0" fontId="20" fillId="11" borderId="6" applyAlignment="1" pivotButton="0" quotePrefix="0" xfId="0">
      <alignment vertical="center"/>
    </xf>
    <xf numFmtId="0" fontId="20" fillId="11" borderId="12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0" fontId="20" fillId="11" borderId="14" applyAlignment="1" pivotButton="0" quotePrefix="0" xfId="0">
      <alignment horizontal="center" vertical="center"/>
    </xf>
    <xf numFmtId="0" fontId="20" fillId="11" borderId="9" applyAlignment="1" pivotButton="0" quotePrefix="0" xfId="0">
      <alignment horizontal="center" vertical="center"/>
    </xf>
    <xf numFmtId="0" fontId="24" fillId="2" borderId="51" applyAlignment="1" pivotButton="0" quotePrefix="0" xfId="0">
      <alignment horizontal="center" vertical="center"/>
    </xf>
    <xf numFmtId="0" fontId="24" fillId="11" borderId="10" applyAlignment="1" pivotButton="0" quotePrefix="0" xfId="0">
      <alignment horizontal="center" vertical="center"/>
    </xf>
    <xf numFmtId="0" fontId="24" fillId="11" borderId="53" applyAlignment="1" pivotButton="0" quotePrefix="0" xfId="0">
      <alignment horizontal="center" vertical="center"/>
    </xf>
    <xf numFmtId="0" fontId="24" fillId="2" borderId="50" applyAlignment="1" pivotButton="0" quotePrefix="0" xfId="0">
      <alignment horizontal="center" vertical="center"/>
    </xf>
    <xf numFmtId="0" fontId="24" fillId="11" borderId="6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24" fillId="0" borderId="51" applyAlignment="1" pivotButton="0" quotePrefix="0" xfId="0">
      <alignment horizontal="center" vertical="center"/>
    </xf>
    <xf numFmtId="0" fontId="24" fillId="0" borderId="11" applyAlignment="1" pivotButton="0" quotePrefix="0" xfId="28">
      <alignment horizontal="center" vertical="center"/>
    </xf>
    <xf numFmtId="0" fontId="25" fillId="0" borderId="8" applyAlignment="1" pivotButton="0" quotePrefix="0" xfId="5">
      <alignment horizontal="center" wrapText="1"/>
    </xf>
    <xf numFmtId="0" fontId="25" fillId="11" borderId="9" applyAlignment="1" pivotButton="0" quotePrefix="0" xfId="5">
      <alignment horizontal="center" wrapText="1"/>
    </xf>
    <xf numFmtId="0" fontId="24" fillId="4" borderId="8" applyAlignment="1" applyProtection="1" pivotButton="0" quotePrefix="0" xfId="28">
      <alignment horizontal="center" vertical="center" wrapText="1"/>
      <protection locked="0" hidden="0"/>
    </xf>
    <xf numFmtId="0" fontId="24" fillId="4" borderId="9" applyAlignment="1" applyProtection="1" pivotButton="0" quotePrefix="0" xfId="28">
      <alignment horizontal="center" vertical="center" wrapText="1"/>
      <protection locked="0" hidden="0"/>
    </xf>
    <xf numFmtId="0" fontId="20" fillId="2" borderId="8" applyAlignment="1" pivotButton="0" quotePrefix="0" xfId="28">
      <alignment horizontal="left" vertical="center"/>
    </xf>
    <xf numFmtId="0" fontId="20" fillId="11" borderId="14" applyAlignment="1" pivotButton="0" quotePrefix="0" xfId="28">
      <alignment horizontal="left" vertical="center"/>
    </xf>
    <xf numFmtId="0" fontId="20" fillId="2" borderId="8" applyAlignment="1" pivotButton="0" quotePrefix="0" xfId="28">
      <alignment horizontal="center" vertical="center"/>
    </xf>
    <xf numFmtId="0" fontId="24" fillId="2" borderId="51" applyAlignment="1" pivotButton="0" quotePrefix="0" xfId="28">
      <alignment horizontal="center" vertical="center" wrapText="1"/>
    </xf>
    <xf numFmtId="0" fontId="24" fillId="11" borderId="10" applyAlignment="1" pivotButton="0" quotePrefix="0" xfId="28">
      <alignment horizontal="center" vertical="center" wrapText="1"/>
    </xf>
    <xf numFmtId="0" fontId="24" fillId="11" borderId="0" applyAlignment="1" pivotButton="0" quotePrefix="0" xfId="28">
      <alignment horizontal="center" vertical="center" wrapText="1"/>
    </xf>
    <xf numFmtId="0" fontId="24" fillId="11" borderId="6" applyAlignment="1" pivotButton="0" quotePrefix="0" xfId="28">
      <alignment horizontal="center" vertical="center" wrapText="1"/>
    </xf>
    <xf numFmtId="0" fontId="20" fillId="2" borderId="50" applyAlignment="1" pivotButton="0" quotePrefix="0" xfId="28">
      <alignment horizontal="left" vertical="center"/>
    </xf>
    <xf numFmtId="0" fontId="20" fillId="11" borderId="6" applyAlignment="1" pivotButton="0" quotePrefix="0" xfId="28">
      <alignment horizontal="left" vertical="center"/>
    </xf>
    <xf numFmtId="0" fontId="20" fillId="11" borderId="12" applyAlignment="1" pivotButton="0" quotePrefix="0" xfId="28">
      <alignment horizontal="left" vertical="center"/>
    </xf>
    <xf numFmtId="3" fontId="24" fillId="5" borderId="8" applyAlignment="1" pivotButton="0" quotePrefix="0" xfId="28">
      <alignment horizontal="center" vertical="center"/>
    </xf>
    <xf numFmtId="9" fontId="13" fillId="4" borderId="49" applyAlignment="1" applyProtection="1" pivotButton="0" quotePrefix="0" xfId="1">
      <alignment horizontal="left" vertical="center" wrapText="1"/>
      <protection locked="0" hidden="0"/>
    </xf>
    <xf numFmtId="9" fontId="13" fillId="4" borderId="11" applyAlignment="1" applyProtection="1" pivotButton="0" quotePrefix="0" xfId="1">
      <alignment horizontal="left" vertical="center" wrapText="1"/>
      <protection locked="0" hidden="0"/>
    </xf>
    <xf numFmtId="0" fontId="24" fillId="2" borderId="7" applyAlignment="1" pivotButton="0" quotePrefix="0" xfId="28">
      <alignment horizontal="center" vertical="center" wrapText="1"/>
    </xf>
    <xf numFmtId="0" fontId="20" fillId="0" borderId="49" applyAlignment="1" pivotButton="0" quotePrefix="0" xfId="0">
      <alignment horizontal="left" vertical="center" wrapText="1"/>
    </xf>
    <xf numFmtId="0" fontId="20" fillId="11" borderId="11" applyAlignment="1" pivotButton="0" quotePrefix="0" xfId="0">
      <alignment horizontal="left" vertical="center" wrapText="1"/>
    </xf>
    <xf numFmtId="3" fontId="13" fillId="4" borderId="51" applyAlignment="1" applyProtection="1" pivotButton="0" quotePrefix="0" xfId="13">
      <alignment horizontal="center" vertical="center" wrapText="1"/>
      <protection locked="0" hidden="0"/>
    </xf>
    <xf numFmtId="3" fontId="13" fillId="4" borderId="10" applyAlignment="1" applyProtection="1" pivotButton="0" quotePrefix="0" xfId="13">
      <alignment horizontal="center" vertical="center" wrapText="1"/>
      <protection locked="0" hidden="0"/>
    </xf>
    <xf numFmtId="3" fontId="13" fillId="4" borderId="53" applyAlignment="1" applyProtection="1" pivotButton="0" quotePrefix="0" xfId="13">
      <alignment horizontal="center" vertical="center" wrapText="1"/>
      <protection locked="0" hidden="0"/>
    </xf>
    <xf numFmtId="3" fontId="13" fillId="4" borderId="52" applyAlignment="1" applyProtection="1" pivotButton="0" quotePrefix="0" xfId="13">
      <alignment horizontal="center" vertical="center" wrapText="1"/>
      <protection locked="0" hidden="0"/>
    </xf>
    <xf numFmtId="3" fontId="13" fillId="4" borderId="0" applyAlignment="1" applyProtection="1" pivotButton="0" quotePrefix="0" xfId="13">
      <alignment horizontal="center" vertical="center" wrapText="1"/>
      <protection locked="0" hidden="0"/>
    </xf>
    <xf numFmtId="3" fontId="13" fillId="4" borderId="54" applyAlignment="1" applyProtection="1" pivotButton="0" quotePrefix="0" xfId="13">
      <alignment horizontal="center" vertical="center" wrapText="1"/>
      <protection locked="0" hidden="0"/>
    </xf>
    <xf numFmtId="3" fontId="13" fillId="4" borderId="50" applyAlignment="1" applyProtection="1" pivotButton="0" quotePrefix="0" xfId="13">
      <alignment horizontal="center" vertical="center" wrapText="1"/>
      <protection locked="0" hidden="0"/>
    </xf>
    <xf numFmtId="3" fontId="13" fillId="4" borderId="6" applyAlignment="1" applyProtection="1" pivotButton="0" quotePrefix="0" xfId="13">
      <alignment horizontal="center" vertical="center" wrapText="1"/>
      <protection locked="0" hidden="0"/>
    </xf>
    <xf numFmtId="3" fontId="13" fillId="4" borderId="12" applyAlignment="1" applyProtection="1" pivotButton="0" quotePrefix="0" xfId="13">
      <alignment horizontal="center" vertical="center" wrapText="1"/>
      <protection locked="0" hidden="0"/>
    </xf>
    <xf numFmtId="0" fontId="20" fillId="11" borderId="13" applyAlignment="1" pivotButton="0" quotePrefix="0" xfId="0">
      <alignment horizontal="left" vertical="center" wrapText="1"/>
    </xf>
    <xf numFmtId="0" fontId="20" fillId="0" borderId="7" applyAlignment="1" pivotButton="0" quotePrefix="0" xfId="0">
      <alignment horizontal="left" vertical="center" wrapText="1"/>
    </xf>
    <xf numFmtId="0" fontId="20" fillId="11" borderId="7" applyAlignment="1" pivotButton="0" quotePrefix="0" xfId="0">
      <alignment horizontal="left" vertical="center" wrapText="1"/>
    </xf>
    <xf numFmtId="3" fontId="13" fillId="5" borderId="8" applyAlignment="1" pivotButton="0" quotePrefix="0" xfId="46">
      <alignment vertical="center"/>
    </xf>
    <xf numFmtId="3" fontId="13" fillId="5" borderId="9" applyAlignment="1" pivotButton="0" quotePrefix="0" xfId="46">
      <alignment vertical="center"/>
    </xf>
    <xf numFmtId="3" fontId="13" fillId="4" borderId="8" applyAlignment="1" applyProtection="1" pivotButton="0" quotePrefix="0" xfId="22">
      <alignment horizontal="left" vertical="center" wrapText="1"/>
      <protection locked="0" hidden="0"/>
    </xf>
    <xf numFmtId="3" fontId="13" fillId="4" borderId="9" applyAlignment="1" applyProtection="1" pivotButton="0" quotePrefix="0" xfId="22">
      <alignment horizontal="left" vertical="center" wrapText="1"/>
      <protection locked="0" hidden="0"/>
    </xf>
    <xf numFmtId="0" fontId="13" fillId="4" borderId="8" applyAlignment="1" applyProtection="1" pivotButton="0" quotePrefix="0" xfId="5">
      <alignment horizontal="center" vertical="center" wrapText="1"/>
      <protection locked="0" hidden="0"/>
    </xf>
    <xf numFmtId="0" fontId="13" fillId="4" borderId="14" applyAlignment="1" applyProtection="1" pivotButton="0" quotePrefix="0" xfId="5">
      <alignment horizontal="center" vertical="center" wrapText="1"/>
      <protection locked="0" hidden="0"/>
    </xf>
    <xf numFmtId="0" fontId="13" fillId="4" borderId="9" applyAlignment="1" applyProtection="1" pivotButton="0" quotePrefix="0" xfId="5">
      <alignment horizontal="center" vertical="center" wrapText="1"/>
      <protection locked="0" hidden="0"/>
    </xf>
    <xf numFmtId="3" fontId="13" fillId="4" borderId="7" applyAlignment="1" applyProtection="1" pivotButton="0" quotePrefix="0" xfId="22">
      <alignment horizontal="left" vertical="center" wrapText="1"/>
      <protection locked="0" hidden="0"/>
    </xf>
    <xf numFmtId="0" fontId="20" fillId="0" borderId="8" applyAlignment="1" pivotButton="0" quotePrefix="0" xfId="47">
      <alignment horizontal="center" vertical="center"/>
    </xf>
    <xf numFmtId="0" fontId="20" fillId="11" borderId="9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/>
    </xf>
    <xf numFmtId="0" fontId="25" fillId="11" borderId="9" applyAlignment="1" pivotButton="0" quotePrefix="0" xfId="5">
      <alignment vertical="center"/>
    </xf>
    <xf numFmtId="0" fontId="13" fillId="0" borderId="8" applyAlignment="1" pivotButton="0" quotePrefix="0" xfId="46">
      <alignment vertical="center"/>
    </xf>
    <xf numFmtId="0" fontId="13" fillId="11" borderId="9" applyAlignment="1" pivotButton="0" quotePrefix="0" xfId="46">
      <alignment vertical="center"/>
    </xf>
    <xf numFmtId="0" fontId="20" fillId="3" borderId="52" applyAlignment="1" pivotButton="0" quotePrefix="0" xfId="46">
      <alignment horizontal="center" vertical="center" wrapText="1"/>
    </xf>
    <xf numFmtId="0" fontId="20" fillId="3" borderId="0" applyAlignment="1" pivotButton="0" quotePrefix="0" xfId="46">
      <alignment horizontal="center" vertical="center" wrapText="1"/>
    </xf>
    <xf numFmtId="0" fontId="20" fillId="3" borderId="54" applyAlignment="1" pivotButton="0" quotePrefix="0" xfId="46">
      <alignment horizontal="center" vertical="center" wrapText="1"/>
    </xf>
    <xf numFmtId="0" fontId="20" fillId="3" borderId="50" applyAlignment="1" pivotButton="0" quotePrefix="0" xfId="46">
      <alignment horizontal="center" vertical="center" wrapText="1"/>
    </xf>
    <xf numFmtId="0" fontId="20" fillId="3" borderId="6" applyAlignment="1" pivotButton="0" quotePrefix="0" xfId="46">
      <alignment horizontal="center" vertical="center" wrapText="1"/>
    </xf>
    <xf numFmtId="0" fontId="20" fillId="3" borderId="12" applyAlignment="1" pivotButton="0" quotePrefix="0" xfId="46">
      <alignment horizontal="center" vertical="center" wrapText="1"/>
    </xf>
    <xf numFmtId="0" fontId="13" fillId="0" borderId="50" applyAlignment="1" pivotButton="0" quotePrefix="0" xfId="46">
      <alignment vertical="center"/>
    </xf>
    <xf numFmtId="0" fontId="13" fillId="11" borderId="12" applyAlignment="1" pivotButton="0" quotePrefix="0" xfId="46">
      <alignment vertical="center"/>
    </xf>
    <xf numFmtId="0" fontId="20" fillId="3" borderId="51" applyAlignment="1" pivotButton="0" quotePrefix="0" xfId="46">
      <alignment horizontal="center" vertical="center" wrapText="1"/>
    </xf>
    <xf numFmtId="0" fontId="20" fillId="3" borderId="10" applyAlignment="1" pivotButton="0" quotePrefix="0" xfId="46">
      <alignment horizontal="center" vertical="center" wrapText="1"/>
    </xf>
    <xf numFmtId="0" fontId="20" fillId="3" borderId="53" applyAlignment="1" pivotButton="0" quotePrefix="0" xfId="46">
      <alignment horizontal="center" vertical="center" wrapText="1"/>
    </xf>
    <xf numFmtId="0" fontId="20" fillId="0" borderId="51" applyAlignment="1" pivotButton="0" quotePrefix="0" xfId="47">
      <alignment horizontal="center" vertical="center"/>
    </xf>
    <xf numFmtId="0" fontId="20" fillId="11" borderId="53" applyAlignment="1" pivotButton="0" quotePrefix="0" xfId="47">
      <alignment horizontal="center" vertical="center"/>
    </xf>
    <xf numFmtId="0" fontId="20" fillId="0" borderId="7" applyAlignment="1" pivotButton="0" quotePrefix="0" xfId="47">
      <alignment horizontal="center" vertical="center"/>
    </xf>
    <xf numFmtId="0" fontId="20" fillId="11" borderId="7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 wrapText="1"/>
    </xf>
    <xf numFmtId="0" fontId="25" fillId="11" borderId="14" applyAlignment="1" pivotButton="0" quotePrefix="0" xfId="5">
      <alignment vertical="center" wrapText="1"/>
    </xf>
    <xf numFmtId="0" fontId="25" fillId="0" borderId="9" applyAlignment="1" pivotButton="0" quotePrefix="0" xfId="5">
      <alignment vertical="center" wrapText="1"/>
    </xf>
    <xf numFmtId="0" fontId="25" fillId="11" borderId="9" applyAlignment="1" pivotButton="0" quotePrefix="0" xfId="5">
      <alignment vertical="center" wrapText="1"/>
    </xf>
    <xf numFmtId="0" fontId="24" fillId="2" borderId="49" applyAlignment="1" pivotButton="0" quotePrefix="0" xfId="0">
      <alignment horizontal="center" vertical="center"/>
    </xf>
    <xf numFmtId="0" fontId="24" fillId="11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4" fillId="2" borderId="51" applyAlignment="1" pivotButton="0" quotePrefix="0" xfId="0">
      <alignment horizontal="center" vertical="center" wrapText="1"/>
    </xf>
    <xf numFmtId="0" fontId="24" fillId="11" borderId="10" applyAlignment="1" pivotButton="0" quotePrefix="0" xfId="0">
      <alignment horizontal="center" vertical="center" wrapText="1"/>
    </xf>
    <xf numFmtId="0" fontId="24" fillId="11" borderId="53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24" fillId="11" borderId="54" applyAlignment="1" pivotButton="0" quotePrefix="0" xfId="0">
      <alignment horizontal="center" vertical="center"/>
    </xf>
    <xf numFmtId="0" fontId="24" fillId="2" borderId="50" applyAlignment="1" pivotButton="0" quotePrefix="0" xfId="0">
      <alignment horizontal="center" vertical="center" wrapText="1"/>
    </xf>
    <xf numFmtId="0" fontId="24" fillId="11" borderId="6" applyAlignment="1" pivotButton="0" quotePrefix="0" xfId="0">
      <alignment horizontal="center" vertical="center" wrapText="1"/>
    </xf>
    <xf numFmtId="0" fontId="24" fillId="11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vertical="center"/>
    </xf>
    <xf numFmtId="0" fontId="24" fillId="11" borderId="14" applyAlignment="1" pivotButton="0" quotePrefix="0" xfId="0">
      <alignment vertical="center"/>
    </xf>
    <xf numFmtId="0" fontId="24" fillId="11" borderId="9" applyAlignment="1" pivotButton="0" quotePrefix="0" xfId="0">
      <alignment vertical="center"/>
    </xf>
    <xf numFmtId="173" fontId="20" fillId="4" borderId="14" applyAlignment="1" applyProtection="1" pivotButton="0" quotePrefix="0" xfId="28">
      <alignment horizontal="center" vertical="center" wrapText="1"/>
      <protection locked="0" hidden="0"/>
    </xf>
    <xf numFmtId="173" fontId="20" fillId="4" borderId="9" applyAlignment="1" applyProtection="1" pivotButton="0" quotePrefix="0" xfId="28">
      <alignment horizontal="center" vertical="center" wrapText="1"/>
      <protection locked="0" hidden="0"/>
    </xf>
    <xf numFmtId="0" fontId="24" fillId="2" borderId="8" applyAlignment="1" pivotButton="0" quotePrefix="0" xfId="0">
      <alignment horizontal="left" vertical="center" wrapText="1"/>
    </xf>
    <xf numFmtId="0" fontId="24" fillId="11" borderId="14" applyAlignment="1" pivotButton="0" quotePrefix="0" xfId="0">
      <alignment horizontal="left" vertical="center" wrapText="1"/>
    </xf>
    <xf numFmtId="0" fontId="24" fillId="11" borderId="9" applyAlignment="1" pivotButton="0" quotePrefix="0" xfId="0">
      <alignment horizontal="left" vertical="center" wrapText="1"/>
    </xf>
    <xf numFmtId="0" fontId="24" fillId="2" borderId="8" applyAlignment="1" pivotButton="0" quotePrefix="0" xfId="0">
      <alignment horizontal="center" vertical="center"/>
    </xf>
    <xf numFmtId="0" fontId="25" fillId="11" borderId="13" applyAlignment="1" pivotButton="0" quotePrefix="0" xfId="5">
      <alignment horizontal="center" vertical="center" wrapText="1"/>
    </xf>
    <xf numFmtId="3" fontId="20" fillId="7" borderId="51" applyAlignment="1" applyProtection="1" pivotButton="0" quotePrefix="0" xfId="28">
      <alignment horizontal="center" vertical="center" wrapText="1"/>
      <protection locked="0" hidden="0"/>
    </xf>
    <xf numFmtId="3" fontId="20" fillId="7" borderId="53" applyAlignment="1" applyProtection="1" pivotButton="0" quotePrefix="0" xfId="28">
      <alignment horizontal="center" vertical="center" wrapText="1"/>
      <protection locked="0" hidden="0"/>
    </xf>
    <xf numFmtId="9" fontId="20" fillId="5" borderId="51" applyAlignment="1" pivotButton="0" quotePrefix="0" xfId="28">
      <alignment horizontal="center" vertical="center"/>
    </xf>
    <xf numFmtId="9" fontId="20" fillId="5" borderId="53" applyAlignment="1" pivotButton="0" quotePrefix="0" xfId="28">
      <alignment horizontal="center" vertical="center"/>
    </xf>
    <xf numFmtId="3" fontId="20" fillId="7" borderId="52" applyAlignment="1" applyProtection="1" pivotButton="0" quotePrefix="0" xfId="28">
      <alignment horizontal="center" vertical="center" wrapText="1"/>
      <protection locked="0" hidden="0"/>
    </xf>
    <xf numFmtId="3" fontId="20" fillId="7" borderId="54" applyAlignment="1" applyProtection="1" pivotButton="0" quotePrefix="0" xfId="28">
      <alignment horizontal="center" vertical="center" wrapText="1"/>
      <protection locked="0" hidden="0"/>
    </xf>
    <xf numFmtId="9" fontId="20" fillId="5" borderId="52" applyAlignment="1" pivotButton="0" quotePrefix="0" xfId="28">
      <alignment horizontal="center" vertical="center"/>
    </xf>
    <xf numFmtId="9" fontId="20" fillId="5" borderId="54" applyAlignment="1" pivotButton="0" quotePrefix="0" xfId="28">
      <alignment horizontal="center" vertical="center"/>
    </xf>
    <xf numFmtId="3" fontId="20" fillId="3" borderId="50" applyAlignment="1" pivotButton="0" quotePrefix="0" xfId="28">
      <alignment horizontal="center" vertical="center"/>
    </xf>
    <xf numFmtId="3" fontId="20" fillId="3" borderId="12" applyAlignment="1" pivotButton="0" quotePrefix="0" xfId="28">
      <alignment horizontal="center" vertical="center"/>
    </xf>
    <xf numFmtId="9" fontId="20" fillId="3" borderId="50" applyAlignment="1" pivotButton="0" quotePrefix="0" xfId="28">
      <alignment horizontal="center" vertical="center"/>
    </xf>
    <xf numFmtId="9" fontId="20" fillId="3" borderId="12" applyAlignment="1" pivotButton="0" quotePrefix="0" xfId="28">
      <alignment horizontal="center" vertical="center"/>
    </xf>
    <xf numFmtId="0" fontId="25" fillId="11" borderId="9" applyAlignment="1" pivotButton="0" quotePrefix="0" xfId="5">
      <alignment horizontal="center" vertical="center" wrapText="1"/>
    </xf>
    <xf numFmtId="0" fontId="25" fillId="0" borderId="51" applyAlignment="1" pivotButton="0" quotePrefix="0" xfId="5">
      <alignment horizontal="center" vertical="center" wrapText="1"/>
    </xf>
    <xf numFmtId="0" fontId="25" fillId="11" borderId="53" applyAlignment="1" pivotButton="0" quotePrefix="0" xfId="5">
      <alignment horizontal="center" vertical="center" wrapText="1"/>
    </xf>
    <xf numFmtId="0" fontId="25" fillId="11" borderId="50" applyAlignment="1" pivotButton="0" quotePrefix="0" xfId="5">
      <alignment horizontal="center" vertical="center" wrapText="1"/>
    </xf>
    <xf numFmtId="0" fontId="25" fillId="11" borderId="12" applyAlignment="1" pivotButton="0" quotePrefix="0" xfId="5">
      <alignment horizontal="center" vertical="center" wrapText="1"/>
    </xf>
    <xf numFmtId="168" fontId="20" fillId="7" borderId="8" applyAlignment="1" applyProtection="1" pivotButton="0" quotePrefix="0" xfId="40">
      <alignment horizontal="center" vertical="center" wrapText="1"/>
      <protection locked="0" hidden="0"/>
    </xf>
    <xf numFmtId="168" fontId="20" fillId="7" borderId="9" applyAlignment="1" applyProtection="1" pivotButton="0" quotePrefix="0" xfId="40">
      <alignment horizontal="center" vertical="center" wrapText="1"/>
      <protection locked="0" hidden="0"/>
    </xf>
    <xf numFmtId="9" fontId="20" fillId="5" borderId="8" applyAlignment="1" pivotButton="0" quotePrefix="0" xfId="28">
      <alignment horizontal="center" vertical="center"/>
    </xf>
    <xf numFmtId="9" fontId="20" fillId="5" borderId="9" applyAlignment="1" pivotButton="0" quotePrefix="0" xfId="28">
      <alignment horizontal="center" vertical="center"/>
    </xf>
    <xf numFmtId="0" fontId="13" fillId="2" borderId="7" applyAlignment="1" pivotButton="0" quotePrefix="0" xfId="23">
      <alignment horizontal="center" vertical="center" wrapText="1"/>
    </xf>
    <xf numFmtId="0" fontId="13" fillId="11" borderId="7" applyAlignment="1" pivotButton="0" quotePrefix="0" xfId="23">
      <alignment horizontal="center" vertical="center" wrapText="1"/>
    </xf>
    <xf numFmtId="0" fontId="13" fillId="4" borderId="8" applyAlignment="1" applyProtection="1" pivotButton="0" quotePrefix="0" xfId="28">
      <alignment horizontal="center" vertical="center" wrapText="1"/>
      <protection locked="0" hidden="0"/>
    </xf>
    <xf numFmtId="0" fontId="13" fillId="4" borderId="14" applyAlignment="1" applyProtection="1" pivotButton="0" quotePrefix="0" xfId="28">
      <alignment horizontal="center" vertical="center" wrapText="1"/>
      <protection locked="0" hidden="0"/>
    </xf>
    <xf numFmtId="0" fontId="13" fillId="4" borderId="9" applyAlignment="1" applyProtection="1" pivotButton="0" quotePrefix="0" xfId="28">
      <alignment horizontal="center" vertical="center" wrapText="1"/>
      <protection locked="0" hidden="0"/>
    </xf>
    <xf numFmtId="0" fontId="25" fillId="0" borderId="0" applyAlignment="1" pivotButton="0" quotePrefix="0" xfId="5">
      <alignment horizontal="center" vertical="center" wrapText="1"/>
    </xf>
    <xf numFmtId="0" fontId="25" fillId="11" borderId="0" applyAlignment="1" pivotButton="0" quotePrefix="0" xfId="5">
      <alignment horizontal="center" vertical="center" wrapText="1"/>
    </xf>
    <xf numFmtId="9" fontId="13" fillId="0" borderId="49" applyAlignment="1" pivotButton="0" quotePrefix="0" xfId="0">
      <alignment horizontal="center" vertical="center"/>
    </xf>
    <xf numFmtId="9" fontId="13" fillId="11" borderId="13" applyAlignment="1" pivotButton="0" quotePrefix="0" xfId="0">
      <alignment horizontal="center" vertical="center"/>
    </xf>
    <xf numFmtId="9" fontId="13" fillId="11" borderId="11" applyAlignment="1" pivotButton="0" quotePrefix="0" xfId="0">
      <alignment horizontal="center" vertical="center"/>
    </xf>
    <xf numFmtId="9" fontId="13" fillId="0" borderId="13" applyAlignment="1" pivotButton="0" quotePrefix="0" xfId="0">
      <alignment horizontal="center" vertical="center"/>
    </xf>
    <xf numFmtId="0" fontId="25" fillId="0" borderId="14" applyAlignment="1" pivotButton="0" quotePrefix="0" xfId="5">
      <alignment horizontal="center" vertical="center" wrapText="1"/>
    </xf>
    <xf numFmtId="0" fontId="25" fillId="11" borderId="8" applyAlignment="1" pivotButton="0" quotePrefix="0" xfId="5">
      <alignment horizontal="center" vertical="center" wrapText="1"/>
    </xf>
    <xf numFmtId="0" fontId="25" fillId="2" borderId="49" applyAlignment="1" pivotButton="0" quotePrefix="0" xfId="5">
      <alignment horizontal="center" vertical="center" wrapText="1"/>
    </xf>
    <xf numFmtId="0" fontId="25" fillId="0" borderId="7" applyAlignment="1" pivotButton="0" quotePrefix="0" xfId="5">
      <alignment horizontal="left" vertical="center"/>
    </xf>
    <xf numFmtId="0" fontId="25" fillId="11" borderId="7" applyAlignment="1" pivotButton="0" quotePrefix="0" xfId="5">
      <alignment horizontal="left" vertical="center"/>
    </xf>
    <xf numFmtId="0" fontId="25" fillId="0" borderId="8" applyAlignment="1" pivotButton="0" quotePrefix="0" xfId="5">
      <alignment horizontal="left" vertical="center"/>
    </xf>
    <xf numFmtId="0" fontId="25" fillId="11" borderId="14" applyAlignment="1" pivotButton="0" quotePrefix="0" xfId="5">
      <alignment horizontal="left" vertical="center"/>
    </xf>
    <xf numFmtId="0" fontId="25" fillId="11" borderId="9" applyAlignment="1" pivotButton="0" quotePrefix="0" xfId="5">
      <alignment horizontal="left" vertical="center"/>
    </xf>
    <xf numFmtId="0" fontId="25" fillId="0" borderId="49" applyAlignment="1" pivotButton="0" quotePrefix="0" xfId="24">
      <alignment horizontal="center" vertical="center" wrapText="1"/>
    </xf>
    <xf numFmtId="0" fontId="25" fillId="11" borderId="11" applyAlignment="1" pivotButton="0" quotePrefix="0" xfId="24">
      <alignment horizontal="center" vertical="center" wrapText="1"/>
    </xf>
    <xf numFmtId="0" fontId="13" fillId="2" borderId="8" applyAlignment="1" pivotButton="0" quotePrefix="0" xfId="17">
      <alignment horizontal="left" vertical="center" indent="2"/>
    </xf>
    <xf numFmtId="0" fontId="13" fillId="11" borderId="9" applyAlignment="1" pivotButton="0" quotePrefix="0" xfId="17">
      <alignment horizontal="left" vertical="center" indent="2"/>
    </xf>
    <xf numFmtId="0" fontId="25" fillId="0" borderId="8" applyAlignment="1" pivotButton="0" quotePrefix="0" xfId="24">
      <alignment horizontal="left" vertical="center" wrapText="1"/>
    </xf>
    <xf numFmtId="0" fontId="25" fillId="11" borderId="14" applyAlignment="1" pivotButton="0" quotePrefix="0" xfId="24">
      <alignment horizontal="left" vertical="center" wrapText="1"/>
    </xf>
    <xf numFmtId="0" fontId="25" fillId="11" borderId="9" applyAlignment="1" pivotButton="0" quotePrefix="0" xfId="24">
      <alignment horizontal="left" vertical="center" wrapText="1"/>
    </xf>
    <xf numFmtId="0" fontId="13" fillId="2" borderId="13" applyAlignment="1" pivotButton="0" quotePrefix="0" xfId="0">
      <alignment horizontal="left" vertical="center" wrapText="1"/>
    </xf>
    <xf numFmtId="0" fontId="13" fillId="11" borderId="13" applyAlignment="1" pivotButton="0" quotePrefix="0" xfId="0">
      <alignment horizontal="left" vertical="center" wrapText="1"/>
    </xf>
    <xf numFmtId="0" fontId="13" fillId="2" borderId="49" applyAlignment="1" pivotButton="0" quotePrefix="0" xfId="0">
      <alignment horizontal="left" vertical="center" wrapText="1"/>
    </xf>
    <xf numFmtId="0" fontId="13" fillId="11" borderId="11" applyAlignment="1" pivotButton="0" quotePrefix="0" xfId="0">
      <alignment horizontal="left" vertical="center" wrapText="1"/>
    </xf>
    <xf numFmtId="0" fontId="25" fillId="0" borderId="51" applyAlignment="1" pivotButton="0" quotePrefix="0" xfId="0">
      <alignment horizontal="center" vertical="center" wrapText="1"/>
    </xf>
    <xf numFmtId="0" fontId="25" fillId="11" borderId="52" applyAlignment="1" pivotButton="0" quotePrefix="0" xfId="0">
      <alignment horizontal="center" vertical="center" wrapText="1"/>
    </xf>
    <xf numFmtId="0" fontId="25" fillId="11" borderId="50" applyAlignment="1" pivotButton="0" quotePrefix="0" xfId="0">
      <alignment horizontal="center" vertical="center" wrapText="1"/>
    </xf>
    <xf numFmtId="0" fontId="13" fillId="2" borderId="52" applyAlignment="1" pivotButton="0" quotePrefix="0" xfId="17">
      <alignment horizontal="left" vertical="center" indent="2"/>
    </xf>
    <xf numFmtId="0" fontId="13" fillId="2" borderId="50" applyAlignment="1" pivotButton="0" quotePrefix="0" xfId="17">
      <alignment horizontal="left" vertical="center" indent="2"/>
    </xf>
    <xf numFmtId="0" fontId="13" fillId="2" borderId="51" applyAlignment="1" pivotButton="0" quotePrefix="0" xfId="17">
      <alignment horizontal="left" vertical="center" indent="2"/>
    </xf>
    <xf numFmtId="0" fontId="20" fillId="5" borderId="8" pivotButton="0" quotePrefix="0" xfId="0"/>
    <xf numFmtId="0" fontId="20" fillId="5" borderId="9" pivotButton="0" quotePrefix="0" xfId="0"/>
    <xf numFmtId="0" fontId="20" fillId="3" borderId="8" pivotButton="0" quotePrefix="0" xfId="0"/>
    <xf numFmtId="0" fontId="20" fillId="3" borderId="9" pivotButton="0" quotePrefix="0" xfId="0"/>
    <xf numFmtId="0" fontId="13" fillId="0" borderId="7" applyAlignment="1" pivotButton="0" quotePrefix="0" xfId="0">
      <alignment horizontal="left" vertical="center"/>
    </xf>
    <xf numFmtId="0" fontId="13" fillId="11" borderId="7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 wrapText="1"/>
    </xf>
    <xf numFmtId="0" fontId="13" fillId="11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vertical="center"/>
    </xf>
    <xf numFmtId="0" fontId="13" fillId="11" borderId="7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3" fillId="11" borderId="7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/>
    </xf>
    <xf numFmtId="0" fontId="13" fillId="0" borderId="49" applyAlignment="1" pivotButton="0" quotePrefix="0" xfId="0">
      <alignment vertical="center"/>
    </xf>
    <xf numFmtId="0" fontId="13" fillId="11" borderId="49" applyAlignment="1" pivotButton="0" quotePrefix="0" xfId="0">
      <alignment vertical="center"/>
    </xf>
    <xf numFmtId="0" fontId="13" fillId="0" borderId="49" applyAlignment="1" pivotButton="0" quotePrefix="0" xfId="0">
      <alignment vertical="center" wrapText="1"/>
    </xf>
    <xf numFmtId="0" fontId="13" fillId="11" borderId="11" applyAlignment="1" pivotButton="0" quotePrefix="0" xfId="0">
      <alignment vertical="center" wrapText="1"/>
    </xf>
    <xf numFmtId="0" fontId="13" fillId="0" borderId="7" applyAlignment="1" pivotButton="0" quotePrefix="0" xfId="27">
      <alignment horizontal="left" vertical="center"/>
    </xf>
    <xf numFmtId="0" fontId="13" fillId="11" borderId="7" applyAlignment="1" pivotButton="0" quotePrefix="0" xfId="27">
      <alignment horizontal="left" vertical="center"/>
    </xf>
    <xf numFmtId="0" fontId="13" fillId="0" borderId="7" applyAlignment="1" pivotButton="0" quotePrefix="0" xfId="27">
      <alignment vertical="center" wrapText="1"/>
    </xf>
    <xf numFmtId="0" fontId="13" fillId="11" borderId="7" applyAlignment="1" pivotButton="0" quotePrefix="0" xfId="27">
      <alignment vertical="center" wrapText="1"/>
    </xf>
    <xf numFmtId="0" fontId="13" fillId="0" borderId="49" applyAlignment="1" pivotButton="0" quotePrefix="0" xfId="27">
      <alignment vertical="center" wrapText="1"/>
    </xf>
    <xf numFmtId="0" fontId="13" fillId="11" borderId="11" applyAlignment="1" pivotButton="0" quotePrefix="0" xfId="27">
      <alignment vertical="center" wrapText="1"/>
    </xf>
    <xf numFmtId="0" fontId="13" fillId="0" borderId="7" applyAlignment="1" pivotButton="0" quotePrefix="0" xfId="27">
      <alignment horizontal="left" vertical="center" wrapText="1"/>
    </xf>
    <xf numFmtId="0" fontId="13" fillId="11" borderId="7" applyAlignment="1" pivotButton="0" quotePrefix="0" xfId="27">
      <alignment horizontal="left" vertical="center" wrapText="1"/>
    </xf>
    <xf numFmtId="0" fontId="25" fillId="0" borderId="49" applyAlignment="1" pivotButton="0" quotePrefix="0" xfId="27">
      <alignment horizontal="center" vertical="center" wrapText="1"/>
    </xf>
    <xf numFmtId="0" fontId="25" fillId="11" borderId="11" applyAlignment="1" pivotButton="0" quotePrefix="0" xfId="27">
      <alignment horizontal="center" vertical="center" wrapText="1"/>
    </xf>
    <xf numFmtId="0" fontId="25" fillId="0" borderId="7" applyAlignment="1" pivotButton="0" quotePrefix="0" xfId="27">
      <alignment horizontal="center" vertical="center" wrapText="1"/>
    </xf>
    <xf numFmtId="0" fontId="25" fillId="11" borderId="7" applyAlignment="1" pivotButton="0" quotePrefix="0" xfId="27">
      <alignment horizontal="center" vertical="center" wrapText="1"/>
    </xf>
    <xf numFmtId="0" fontId="13" fillId="0" borderId="49" applyAlignment="1" pivotButton="0" quotePrefix="0" xfId="27">
      <alignment horizontal="center" vertical="center"/>
    </xf>
    <xf numFmtId="0" fontId="13" fillId="11" borderId="11" applyAlignment="1" pivotButton="0" quotePrefix="0" xfId="27">
      <alignment horizontal="center" vertical="center"/>
    </xf>
    <xf numFmtId="0" fontId="25" fillId="0" borderId="7" applyAlignment="1" pivotButton="0" quotePrefix="0" xfId="27">
      <alignment vertical="center" wrapText="1"/>
    </xf>
    <xf numFmtId="0" fontId="25" fillId="11" borderId="7" applyAlignment="1" pivotButton="0" quotePrefix="0" xfId="27">
      <alignment vertical="center" wrapText="1"/>
    </xf>
    <xf numFmtId="0" fontId="13" fillId="0" borderId="8" applyAlignment="1" pivotButton="0" quotePrefix="0" xfId="27">
      <alignment horizontal="center" vertical="center" wrapText="1"/>
    </xf>
    <xf numFmtId="0" fontId="13" fillId="11" borderId="14" applyAlignment="1" pivotButton="0" quotePrefix="0" xfId="27">
      <alignment horizontal="center" vertical="center" wrapText="1"/>
    </xf>
    <xf numFmtId="0" fontId="13" fillId="11" borderId="9" applyAlignment="1" pivotButton="0" quotePrefix="0" xfId="27">
      <alignment horizontal="center" vertical="center" wrapText="1"/>
    </xf>
    <xf numFmtId="0" fontId="46" fillId="11" borderId="7" applyAlignment="1" pivotButton="0" quotePrefix="0" xfId="27">
      <alignment horizontal="left" vertical="center" wrapText="1"/>
    </xf>
    <xf numFmtId="0" fontId="13" fillId="0" borderId="0" applyAlignment="1" pivotButton="0" quotePrefix="0" xfId="27">
      <alignment horizontal="left" vertical="top" wrapText="1"/>
    </xf>
    <xf numFmtId="0" fontId="13" fillId="11" borderId="0" applyAlignment="1" pivotButton="0" quotePrefix="0" xfId="27">
      <alignment horizontal="left" vertical="top" wrapText="1"/>
    </xf>
    <xf numFmtId="0" fontId="25" fillId="11" borderId="7" applyAlignment="1" pivotButton="0" quotePrefix="0" xfId="20">
      <alignment horizontal="left" vertical="center" wrapText="1"/>
    </xf>
    <xf numFmtId="0" fontId="22" fillId="0" borderId="0" pivotButton="0" quotePrefix="0" xfId="16"/>
    <xf numFmtId="0" fontId="0" fillId="0" borderId="0" pivotButton="0" quotePrefix="0" xfId="0"/>
    <xf numFmtId="0" fontId="23" fillId="0" borderId="7" applyAlignment="1" pivotButton="0" quotePrefix="0" xfId="0">
      <alignment vertical="center" wrapText="1"/>
    </xf>
    <xf numFmtId="49" fontId="0" fillId="0" borderId="0" pivotButton="0" quotePrefix="0" xfId="0"/>
    <xf numFmtId="171" fontId="20" fillId="5" borderId="7" applyAlignment="1" pivotButton="0" quotePrefix="0" xfId="0">
      <alignment horizontal="left" vertical="center"/>
    </xf>
    <xf numFmtId="0" fontId="13" fillId="11" borderId="30" applyAlignment="1" pivotButton="0" quotePrefix="0" xfId="0">
      <alignment horizontal="left" vertical="center" wrapText="1"/>
    </xf>
    <xf numFmtId="0" fontId="0" fillId="0" borderId="34" pivotButton="0" quotePrefix="0" xfId="0"/>
    <xf numFmtId="0" fontId="13" fillId="11" borderId="27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13" fillId="0" borderId="27" applyAlignment="1" pivotButton="0" quotePrefix="0" xfId="0">
      <alignment horizontal="center" vertical="center" wrapText="1"/>
    </xf>
    <xf numFmtId="0" fontId="0" fillId="0" borderId="32" pivotButton="0" quotePrefix="0" xfId="0"/>
    <xf numFmtId="0" fontId="20" fillId="0" borderId="27" applyAlignment="1" pivotButton="0" quotePrefix="0" xfId="0">
      <alignment horizontal="center" vertical="center" wrapText="1"/>
    </xf>
    <xf numFmtId="0" fontId="0" fillId="0" borderId="39" pivotButton="0" quotePrefix="0" xfId="0"/>
    <xf numFmtId="0" fontId="25" fillId="2" borderId="30" applyAlignment="1" pivotButton="0" quotePrefix="0" xfId="0">
      <alignment horizontal="center" vertical="center" wrapText="1"/>
    </xf>
    <xf numFmtId="0" fontId="13" fillId="9" borderId="27" applyAlignment="1" applyProtection="1" pivotButton="0" quotePrefix="0" xfId="13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13" fillId="2" borderId="27" applyAlignment="1" pivotButton="0" quotePrefix="0" xfId="17">
      <alignment horizontal="center" vertical="center" wrapText="1"/>
    </xf>
    <xf numFmtId="0" fontId="13" fillId="2" borderId="32" applyAlignment="1" pivotButton="0" quotePrefix="0" xfId="17">
      <alignment horizontal="center" vertical="center" wrapText="1"/>
    </xf>
    <xf numFmtId="0" fontId="0" fillId="0" borderId="33" pivotButton="0" quotePrefix="0" xfId="0"/>
    <xf numFmtId="0" fontId="0" fillId="0" borderId="11" pivotButton="0" quotePrefix="0" xfId="0"/>
    <xf numFmtId="0" fontId="20" fillId="0" borderId="30" applyAlignment="1" pivotButton="0" quotePrefix="0" xfId="0">
      <alignment horizontal="center" wrapText="1"/>
    </xf>
    <xf numFmtId="0" fontId="0" fillId="0" borderId="40" pivotButton="0" quotePrefix="0" xfId="0"/>
    <xf numFmtId="166" fontId="24" fillId="3" borderId="41" applyAlignment="1" pivotButton="0" quotePrefix="0" xfId="0">
      <alignment vertical="center" wrapText="1"/>
    </xf>
    <xf numFmtId="166" fontId="24" fillId="0" borderId="0" applyAlignment="1" pivotButton="0" quotePrefix="0" xfId="0">
      <alignment vertical="center" wrapText="1"/>
    </xf>
    <xf numFmtId="166" fontId="24" fillId="3" borderId="40" applyAlignment="1" pivotButton="0" quotePrefix="0" xfId="0">
      <alignment vertical="center" wrapText="1"/>
    </xf>
    <xf numFmtId="165" fontId="13" fillId="0" borderId="43" applyAlignment="1" pivotButton="0" quotePrefix="0" xfId="21">
      <alignment horizontal="left" vertical="center"/>
    </xf>
    <xf numFmtId="166" fontId="13" fillId="15" borderId="42" applyAlignment="1" pivotButton="0" quotePrefix="0" xfId="13">
      <alignment horizontal="right"/>
    </xf>
    <xf numFmtId="166" fontId="13" fillId="18" borderId="41" applyAlignment="1" pivotButton="0" quotePrefix="0" xfId="13">
      <alignment horizontal="right"/>
    </xf>
    <xf numFmtId="166" fontId="13" fillId="0" borderId="0" applyAlignment="1" pivotButton="0" quotePrefix="0" xfId="13">
      <alignment horizontal="right"/>
    </xf>
    <xf numFmtId="166" fontId="13" fillId="18" borderId="40" applyAlignment="1" pivotButton="0" quotePrefix="0" xfId="13">
      <alignment horizontal="right"/>
    </xf>
    <xf numFmtId="165" fontId="13" fillId="0" borderId="44" applyAlignment="1" pivotButton="0" quotePrefix="0" xfId="21">
      <alignment horizontal="left" vertical="center"/>
    </xf>
    <xf numFmtId="166" fontId="13" fillId="15" borderId="40" applyAlignment="1" pivotButton="0" quotePrefix="0" xfId="13">
      <alignment horizontal="right"/>
    </xf>
    <xf numFmtId="166" fontId="13" fillId="15" borderId="41" applyAlignment="1" pivotButton="0" quotePrefix="0" xfId="13">
      <alignment horizontal="right"/>
    </xf>
    <xf numFmtId="166" fontId="13" fillId="19" borderId="41" applyAlignment="1" applyProtection="1" pivotButton="0" quotePrefix="0" xfId="22">
      <alignment vertical="center" wrapText="1"/>
      <protection locked="0" hidden="0"/>
    </xf>
    <xf numFmtId="165" fontId="13" fillId="0" borderId="45" applyAlignment="1" pivotButton="0" quotePrefix="0" xfId="21">
      <alignment horizontal="left" vertical="center"/>
    </xf>
    <xf numFmtId="166" fontId="13" fillId="15" borderId="33" applyAlignment="1" pivotButton="0" quotePrefix="0" xfId="13">
      <alignment horizontal="right"/>
    </xf>
    <xf numFmtId="166" fontId="13" fillId="5" borderId="41" applyAlignment="1" pivotButton="0" quotePrefix="0" xfId="13">
      <alignment horizontal="right"/>
    </xf>
    <xf numFmtId="166" fontId="13" fillId="0" borderId="0" applyAlignment="1" pivotButton="0" quotePrefix="0" xfId="22">
      <alignment vertical="center" wrapText="1"/>
    </xf>
    <xf numFmtId="166" fontId="13" fillId="19" borderId="40" applyAlignment="1" applyProtection="1" pivotButton="0" quotePrefix="0" xfId="22">
      <alignment vertical="center" wrapText="1"/>
      <protection locked="0" hidden="0"/>
    </xf>
    <xf numFmtId="166" fontId="13" fillId="18" borderId="41" applyAlignment="1" pivotButton="0" quotePrefix="0" xfId="22">
      <alignment vertical="center" wrapText="1"/>
    </xf>
    <xf numFmtId="166" fontId="13" fillId="7" borderId="41" applyAlignment="1" applyProtection="1" pivotButton="0" quotePrefix="0" xfId="13">
      <alignment horizontal="right" wrapText="1"/>
      <protection locked="0" hidden="0"/>
    </xf>
    <xf numFmtId="166" fontId="13" fillId="7" borderId="40" applyAlignment="1" applyProtection="1" pivotButton="0" quotePrefix="0" xfId="13">
      <alignment horizontal="right" wrapText="1"/>
      <protection locked="0" hidden="0"/>
    </xf>
    <xf numFmtId="165" fontId="25" fillId="0" borderId="37" applyAlignment="1" pivotButton="0" quotePrefix="0" xfId="21">
      <alignment horizontal="left" vertical="center"/>
    </xf>
    <xf numFmtId="166" fontId="13" fillId="18" borderId="27" applyAlignment="1" pivotButton="0" quotePrefix="0" xfId="13">
      <alignment horizontal="center"/>
    </xf>
    <xf numFmtId="165" fontId="13" fillId="5" borderId="33" applyAlignment="1" pivotButton="0" quotePrefix="0" xfId="21">
      <alignment horizontal="right" vertical="center"/>
    </xf>
    <xf numFmtId="166" fontId="13" fillId="19" borderId="41" applyAlignment="1" applyProtection="1" pivotButton="0" quotePrefix="0" xfId="22">
      <alignment horizontal="right" wrapText="1"/>
      <protection locked="0" hidden="0"/>
    </xf>
    <xf numFmtId="166" fontId="13" fillId="0" borderId="0" applyAlignment="1" pivotButton="0" quotePrefix="0" xfId="22">
      <alignment horizontal="right"/>
    </xf>
    <xf numFmtId="166" fontId="13" fillId="19" borderId="40" applyAlignment="1" applyProtection="1" pivotButton="0" quotePrefix="0" xfId="22">
      <alignment horizontal="right" wrapText="1"/>
      <protection locked="0" hidden="0"/>
    </xf>
    <xf numFmtId="166" fontId="13" fillId="18" borderId="40" applyAlignment="1" pivotButton="0" quotePrefix="0" xfId="22">
      <alignment horizontal="right" wrapText="1"/>
    </xf>
    <xf numFmtId="166" fontId="13" fillId="0" borderId="41" applyAlignment="1" pivotButton="0" quotePrefix="0" xfId="22">
      <alignment horizontal="right"/>
    </xf>
    <xf numFmtId="166" fontId="13" fillId="0" borderId="40" applyAlignment="1" pivotButton="0" quotePrefix="0" xfId="22">
      <alignment horizontal="right"/>
    </xf>
    <xf numFmtId="166" fontId="13" fillId="2" borderId="40" applyAlignment="1" pivotButton="0" quotePrefix="0" xfId="13">
      <alignment horizontal="right"/>
    </xf>
    <xf numFmtId="166" fontId="20" fillId="0" borderId="41" applyAlignment="1" pivotButton="0" quotePrefix="0" xfId="0">
      <alignment vertical="center" wrapText="1"/>
    </xf>
    <xf numFmtId="166" fontId="20" fillId="0" borderId="0" applyAlignment="1" pivotButton="0" quotePrefix="0" xfId="0">
      <alignment vertical="center" wrapText="1"/>
    </xf>
    <xf numFmtId="166" fontId="20" fillId="0" borderId="40" applyAlignment="1" pivotButton="0" quotePrefix="0" xfId="0">
      <alignment vertical="center" wrapText="1"/>
    </xf>
    <xf numFmtId="166" fontId="13" fillId="3" borderId="41" applyAlignment="1" pivotButton="0" quotePrefix="0" xfId="22">
      <alignment vertical="center" wrapText="1"/>
    </xf>
    <xf numFmtId="166" fontId="13" fillId="5" borderId="40" applyAlignment="1" pivotButton="0" quotePrefix="0" xfId="22">
      <alignment vertical="center" wrapText="1"/>
    </xf>
    <xf numFmtId="166" fontId="13" fillId="5" borderId="41" applyAlignment="1" pivotButton="0" quotePrefix="0" xfId="22">
      <alignment vertical="center" wrapText="1"/>
    </xf>
    <xf numFmtId="166" fontId="13" fillId="18" borderId="40" applyAlignment="1" pivotButton="0" quotePrefix="0" xfId="22">
      <alignment vertical="center" wrapText="1"/>
    </xf>
    <xf numFmtId="166" fontId="13" fillId="2" borderId="41" applyAlignment="1" pivotButton="0" quotePrefix="0" xfId="13">
      <alignment horizontal="right"/>
    </xf>
    <xf numFmtId="166" fontId="13" fillId="3" borderId="40" applyAlignment="1" pivotButton="0" quotePrefix="0" xfId="13">
      <alignment horizontal="right"/>
    </xf>
    <xf numFmtId="166" fontId="13" fillId="3" borderId="41" applyAlignment="1" pivotButton="0" quotePrefix="0" xfId="13">
      <alignment horizontal="right"/>
    </xf>
    <xf numFmtId="166" fontId="13" fillId="3" borderId="40" applyAlignment="1" pivotButton="0" quotePrefix="0" xfId="22">
      <alignment vertical="center" wrapText="1"/>
    </xf>
    <xf numFmtId="166" fontId="13" fillId="7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22">
      <alignment vertical="center" wrapText="1"/>
      <protection locked="0" hidden="0"/>
    </xf>
    <xf numFmtId="166" fontId="13" fillId="19" borderId="36" applyAlignment="1" applyProtection="1" pivotButton="0" quotePrefix="0" xfId="22">
      <alignment vertical="center" wrapText="1"/>
      <protection locked="0" hidden="0"/>
    </xf>
    <xf numFmtId="166" fontId="13" fillId="5" borderId="42" applyAlignment="1" pivotButton="0" quotePrefix="0" xfId="22">
      <alignment vertical="center" wrapText="1"/>
    </xf>
    <xf numFmtId="166" fontId="13" fillId="19" borderId="33" applyAlignment="1" applyProtection="1" pivotButton="0" quotePrefix="0" xfId="22">
      <alignment vertical="center" wrapText="1"/>
      <protection locked="0" hidden="0"/>
    </xf>
    <xf numFmtId="166" fontId="13" fillId="15" borderId="46" applyAlignment="1" pivotButton="0" quotePrefix="0" xfId="13">
      <alignment horizontal="right"/>
    </xf>
    <xf numFmtId="166" fontId="13" fillId="15" borderId="32" applyAlignment="1" pivotButton="0" quotePrefix="0" xfId="13">
      <alignment horizontal="right"/>
    </xf>
    <xf numFmtId="166" fontId="13" fillId="3" borderId="32" applyAlignment="1" pivotButton="0" quotePrefix="0" xfId="13">
      <alignment horizontal="right"/>
    </xf>
    <xf numFmtId="166" fontId="13" fillId="18" borderId="32" applyAlignment="1" pivotButton="0" quotePrefix="0" xfId="13">
      <alignment horizontal="right"/>
    </xf>
    <xf numFmtId="166" fontId="13" fillId="5" borderId="36" applyAlignment="1" pivotButton="0" quotePrefix="0" xfId="13">
      <alignment horizontal="center"/>
    </xf>
    <xf numFmtId="166" fontId="13" fillId="0" borderId="36" applyAlignment="1" pivotButton="0" quotePrefix="0" xfId="13">
      <alignment horizontal="center"/>
    </xf>
    <xf numFmtId="166" fontId="13" fillId="0" borderId="47" applyAlignment="1" pivotButton="0" quotePrefix="0" xfId="13">
      <alignment horizontal="center"/>
    </xf>
    <xf numFmtId="0" fontId="0" fillId="0" borderId="9" pivotButton="0" quotePrefix="0" xfId="0"/>
    <xf numFmtId="0" fontId="0" fillId="0" borderId="14" pivotButton="0" quotePrefix="0" xfId="0"/>
    <xf numFmtId="167" fontId="13" fillId="5" borderId="7" pivotButton="0" quotePrefix="0" xfId="21"/>
    <xf numFmtId="167" fontId="13" fillId="7" borderId="7" applyAlignment="1" applyProtection="1" pivotButton="0" quotePrefix="0" xfId="21">
      <alignment vertical="center" wrapText="1"/>
      <protection locked="0" hidden="0"/>
    </xf>
    <xf numFmtId="167" fontId="13" fillId="3" borderId="7" applyAlignment="1" pivotButton="0" quotePrefix="0" xfId="21">
      <alignment vertical="center" wrapText="1"/>
    </xf>
    <xf numFmtId="167" fontId="13" fillId="7" borderId="7" applyAlignment="1" applyProtection="1" pivotButton="0" quotePrefix="0" xfId="21">
      <alignment wrapText="1"/>
      <protection locked="0" hidden="0"/>
    </xf>
    <xf numFmtId="169" fontId="13" fillId="7" borderId="7" applyAlignment="1" applyProtection="1" pivotButton="0" quotePrefix="0" xfId="27">
      <alignment vertical="center" wrapText="1"/>
      <protection locked="0" hidden="0"/>
    </xf>
    <xf numFmtId="167" fontId="13" fillId="5" borderId="7" applyAlignment="1" pivotButton="0" quotePrefix="0" xfId="21">
      <alignment vertical="center"/>
    </xf>
    <xf numFmtId="0" fontId="24" fillId="0" borderId="7" applyAlignment="1" pivotButton="0" quotePrefix="0" xfId="0">
      <alignment horizontal="center"/>
    </xf>
    <xf numFmtId="169" fontId="13" fillId="25" borderId="7" pivotButton="0" quotePrefix="0" xfId="22"/>
    <xf numFmtId="165" fontId="13" fillId="5" borderId="7" applyAlignment="1" pivotButton="0" quotePrefix="0" xfId="21">
      <alignment horizontal="right" vertical="center"/>
    </xf>
    <xf numFmtId="167" fontId="13" fillId="25" borderId="7" applyAlignment="1" pivotButton="0" quotePrefix="0" xfId="21">
      <alignment vertical="center"/>
    </xf>
    <xf numFmtId="165" fontId="13" fillId="5" borderId="9" applyAlignment="1" pivotButton="0" quotePrefix="0" xfId="21">
      <alignment horizontal="right" vertical="center"/>
    </xf>
    <xf numFmtId="165" fontId="13" fillId="18" borderId="7" applyAlignment="1" pivotButton="0" quotePrefix="0" xfId="21">
      <alignment vertical="center"/>
    </xf>
    <xf numFmtId="165" fontId="13" fillId="18" borderId="9" applyAlignment="1" pivotButton="0" quotePrefix="0" xfId="21">
      <alignment vertical="center"/>
    </xf>
    <xf numFmtId="165" fontId="13" fillId="5" borderId="9" applyAlignment="1" pivotButton="0" quotePrefix="0" xfId="21">
      <alignment vertical="center"/>
    </xf>
    <xf numFmtId="165" fontId="13" fillId="7" borderId="9" applyAlignment="1" applyProtection="1" pivotButton="0" quotePrefix="0" xfId="21">
      <alignment vertical="center" wrapText="1"/>
      <protection locked="0" hidden="0"/>
    </xf>
    <xf numFmtId="165" fontId="13" fillId="5" borderId="9" applyAlignment="1" pivotButton="0" quotePrefix="0" xfId="35">
      <alignment horizontal="right" vertical="center"/>
    </xf>
    <xf numFmtId="167" fontId="20" fillId="0" borderId="0" applyAlignment="1" pivotButton="0" quotePrefix="0" xfId="21">
      <alignment vertical="center"/>
    </xf>
    <xf numFmtId="165" fontId="13" fillId="7" borderId="7" applyAlignment="1" applyProtection="1" pivotButton="0" quotePrefix="0" xfId="21">
      <alignment vertical="center" wrapText="1"/>
      <protection locked="0" hidden="0"/>
    </xf>
    <xf numFmtId="178" fontId="13" fillId="5" borderId="7" applyAlignment="1" pivotButton="0" quotePrefix="0" xfId="13">
      <alignment horizontal="right" vertical="center"/>
    </xf>
    <xf numFmtId="192" fontId="13" fillId="5" borderId="7" applyAlignment="1" pivotButton="0" quotePrefix="0" xfId="13">
      <alignment horizontal="right" vertical="center"/>
    </xf>
  </cellXfs>
  <cellStyles count="50">
    <cellStyle name="Normal" xfId="0" builtinId="0"/>
    <cellStyle name="Percent" xfId="1" builtinId="5"/>
    <cellStyle name="Normal 2 6" xfId="2"/>
    <cellStyle name="Comma 2 5 4" xfId="3"/>
    <cellStyle name="Comma 2 5 2" xfId="4"/>
    <cellStyle name="Normal 5 2" xfId="5"/>
    <cellStyle name="Hyperlink" xfId="6" builtinId="8"/>
    <cellStyle name="常规 2 2" xfId="7"/>
    <cellStyle name="Normal 2 5 2" xfId="8"/>
    <cellStyle name="常规 2 2 2" xfId="9"/>
    <cellStyle name="常规 5" xfId="10"/>
    <cellStyle name="Normal 2 2" xfId="11"/>
    <cellStyle name="常规 3 2" xfId="12"/>
    <cellStyle name="QIS5CalcCell" xfId="13"/>
    <cellStyle name="常规 3" xfId="14"/>
    <cellStyle name="常规 2 3" xfId="15"/>
    <cellStyle name="Normal 2" xfId="16"/>
    <cellStyle name="QIS5Label" xfId="17"/>
    <cellStyle name="Comma 2 7" xfId="18"/>
    <cellStyle name="IAIS_FT.ICS.Param" xfId="19"/>
    <cellStyle name="Normal 14 2" xfId="20"/>
    <cellStyle name="Comma 2 2 2 5" xfId="21"/>
    <cellStyle name="QIS5InputCell" xfId="22"/>
    <cellStyle name="Normal 2 4" xfId="23"/>
    <cellStyle name="QIS5Area" xfId="24"/>
    <cellStyle name="Normal 6" xfId="25"/>
    <cellStyle name="QIS5InputCell 2" xfId="26"/>
    <cellStyle name="Normal 8" xfId="27"/>
    <cellStyle name="Normal 10 2 3 7" xfId="28"/>
    <cellStyle name="Normal 2 3" xfId="29"/>
    <cellStyle name="Hyperlink 2" xfId="30"/>
    <cellStyle name="Percent 2 2" xfId="31"/>
    <cellStyle name="Comma 2 4 4" xfId="32"/>
    <cellStyle name="Normal 2 2 2" xfId="33"/>
    <cellStyle name="Normal 2 2 3" xfId="34"/>
    <cellStyle name="Comma 2 2 2" xfId="35"/>
    <cellStyle name="Comma 3 2 2 4" xfId="36"/>
    <cellStyle name="千位分隔 3" xfId="37"/>
    <cellStyle name="IAIS_FT.Caption" xfId="38"/>
    <cellStyle name="Normal 4 2" xfId="39"/>
    <cellStyle name="Comma 5 2 4" xfId="40"/>
    <cellStyle name="Percent 3" xfId="41"/>
    <cellStyle name="Hyperlink 3 2" xfId="42"/>
    <cellStyle name="QIS5Header 2" xfId="43"/>
    <cellStyle name="Percent 2 4" xfId="44"/>
    <cellStyle name="Normal 15" xfId="45"/>
    <cellStyle name="Normal 10 2 3 8" xfId="46"/>
    <cellStyle name="Normal 10 2 3 7 2" xfId="47"/>
    <cellStyle name="Percent 2" xfId="48"/>
    <cellStyle name="Normal 2 5" xfId="49"/>
  </cellStyles>
  <dxfs count="5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FFFFCC"/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fgColor rgb="FFFFFFCC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FBFB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auto="1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auto="1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rgb="FFFFEB9C"/>
          <bgColor rgb="FFFFEB9C"/>
        </patternFill>
      </fill>
    </dxf>
    <dxf>
      <font>
        <color rgb="FF9C5700"/>
      </font>
      <fill>
        <patternFill>
          <bgColor rgb="FFFFEC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rgb="FFFFEB9C"/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J160"/>
  <sheetViews>
    <sheetView view="pageBreakPreview" zoomScale="80" zoomScaleNormal="80" zoomScaleSheetLayoutView="80" workbookViewId="0">
      <selection activeCell="A1" sqref="A1"/>
    </sheetView>
  </sheetViews>
  <sheetFormatPr baseColWidth="8" defaultColWidth="9.42578125" defaultRowHeight="12.75"/>
  <cols>
    <col width="50.42578125" customWidth="1" style="27" min="1" max="1"/>
    <col width="25.42578125" customWidth="1" style="26" min="2" max="12"/>
    <col width="3.42578125" customWidth="1" style="26" min="13" max="13"/>
    <col width="25.42578125" customWidth="1" style="26" min="14" max="21"/>
    <col width="3.42578125" customWidth="1" style="43" min="22" max="22"/>
    <col width="25.5703125" customWidth="1" style="26" min="23" max="24"/>
    <col width="9.42578125" customWidth="1" style="26" min="25" max="25"/>
    <col width="69.7109375" customWidth="1" style="26" min="26" max="26"/>
    <col width="18.7109375" customWidth="1" style="26" min="27" max="36"/>
    <col width="9.42578125" customWidth="1" style="26" min="37" max="16384"/>
  </cols>
  <sheetData>
    <row r="1" ht="13.15" customHeight="1" s="2828">
      <c r="A1" s="937" t="inlineStr">
        <is>
          <t>F.1 Regulatory balance sheet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16.9" customFormat="1" customHeight="1" s="41">
      <c r="A2" s="2795" t="inlineStr">
        <is>
          <t>Name of Insurer:</t>
        </is>
      </c>
      <c r="B2" s="939">
        <f>'Cover Page'!F15</f>
        <v/>
      </c>
      <c r="V2" s="42" t="n"/>
    </row>
    <row r="3" ht="16.9" customFormat="1" customHeight="1" s="41">
      <c r="A3" s="2795" t="inlineStr">
        <is>
          <t>Valuation Date:</t>
        </is>
      </c>
      <c r="B3" s="2831" t="inlineStr">
        <is>
          <t>31 Dec 2025</t>
        </is>
      </c>
    </row>
    <row r="4" ht="16.9" customFormat="1" customHeight="1" s="41" thickBot="1">
      <c r="A4" s="2795" t="inlineStr">
        <is>
          <t>Reporting Period:</t>
        </is>
      </c>
      <c r="B4" s="941" t="n"/>
    </row>
    <row r="5" hidden="1" ht="23.85" customHeight="1" s="2828">
      <c r="V5" s="26" t="n"/>
    </row>
    <row r="6" hidden="1" ht="13.5" customHeight="1" s="2828" thickBot="1">
      <c r="V6" s="26" t="n"/>
    </row>
    <row r="7" ht="26.25" customHeight="1" s="2828" thickBot="1">
      <c r="A7" s="27" t="inlineStr">
        <is>
          <t>(Unit: in HKD thousands)</t>
        </is>
      </c>
      <c r="H7" s="942" t="inlineStr">
        <is>
          <t>Long term offshore reinsurance business</t>
        </is>
      </c>
      <c r="J7" s="942" t="inlineStr">
        <is>
          <t>General offshore reinsurance business</t>
        </is>
      </c>
    </row>
    <row r="8" ht="13.5" customHeight="1" s="2828" thickBot="1">
      <c r="D8" s="943" t="inlineStr">
        <is>
          <t>For branch operating in Hong Kong (other than a designated insurer), whether offshore reinsurance fund is established?</t>
        </is>
      </c>
      <c r="E8" s="944" t="n"/>
      <c r="F8" s="944" t="n"/>
      <c r="G8" s="945" t="n"/>
      <c r="H8" s="44" t="n"/>
      <c r="I8" s="946" t="n"/>
      <c r="J8" s="44" t="n"/>
    </row>
    <row r="9" hidden="1" ht="13.5" customHeight="1" s="2828" thickBot="1"/>
    <row r="10" hidden="1" ht="13.5" customHeight="1" s="2828" thickBot="1"/>
    <row r="11" ht="13.5" customHeight="1" s="2828" thickBot="1">
      <c r="A11" s="947" t="inlineStr">
        <is>
          <t>Column 1</t>
        </is>
      </c>
      <c r="B11" s="948" t="inlineStr">
        <is>
          <t>Column 2</t>
        </is>
      </c>
      <c r="C11" s="948" t="inlineStr">
        <is>
          <t>Column 3</t>
        </is>
      </c>
      <c r="D11" s="949" t="inlineStr">
        <is>
          <t>Column 4</t>
        </is>
      </c>
      <c r="E11" s="949" t="inlineStr">
        <is>
          <t>Column 5</t>
        </is>
      </c>
      <c r="F11" s="949" t="inlineStr">
        <is>
          <t>Column 6</t>
        </is>
      </c>
      <c r="G11" s="949" t="inlineStr">
        <is>
          <t>Column 7</t>
        </is>
      </c>
      <c r="H11" s="949" t="inlineStr">
        <is>
          <t>Column 8</t>
        </is>
      </c>
      <c r="I11" s="949" t="inlineStr">
        <is>
          <t>Column 9</t>
        </is>
      </c>
      <c r="J11" s="949" t="inlineStr">
        <is>
          <t>Column 10</t>
        </is>
      </c>
      <c r="K11" s="949" t="inlineStr">
        <is>
          <t>Column 11</t>
        </is>
      </c>
      <c r="L11" s="949" t="inlineStr">
        <is>
          <t>Column 12</t>
        </is>
      </c>
      <c r="N11" s="947" t="inlineStr">
        <is>
          <t>Column 13</t>
        </is>
      </c>
      <c r="O11" s="947" t="inlineStr">
        <is>
          <t>Column 14</t>
        </is>
      </c>
      <c r="P11" s="947" t="inlineStr">
        <is>
          <t>Column 15</t>
        </is>
      </c>
      <c r="Q11" s="947" t="inlineStr">
        <is>
          <t>Column 16</t>
        </is>
      </c>
      <c r="R11" s="947" t="inlineStr">
        <is>
          <t>Column 17</t>
        </is>
      </c>
      <c r="S11" s="947" t="inlineStr">
        <is>
          <t>Column 18</t>
        </is>
      </c>
      <c r="T11" s="947" t="inlineStr">
        <is>
          <t>Column 19</t>
        </is>
      </c>
      <c r="U11" s="947" t="inlineStr">
        <is>
          <t>Column 20</t>
        </is>
      </c>
      <c r="W11" s="950" t="inlineStr">
        <is>
          <t>Column 21</t>
        </is>
      </c>
      <c r="X11" s="950" t="inlineStr">
        <is>
          <t>Column 22</t>
        </is>
      </c>
      <c r="Z11" s="950" t="inlineStr">
        <is>
          <t>Column 23</t>
        </is>
      </c>
      <c r="AA11" s="950" t="inlineStr">
        <is>
          <t>Column 24</t>
        </is>
      </c>
      <c r="AB11" s="950" t="inlineStr">
        <is>
          <t>Column 25</t>
        </is>
      </c>
      <c r="AC11" s="950" t="inlineStr">
        <is>
          <t>Column 26</t>
        </is>
      </c>
      <c r="AD11" s="950" t="inlineStr">
        <is>
          <t>Column 27</t>
        </is>
      </c>
      <c r="AE11" s="950" t="inlineStr">
        <is>
          <t>Column 28</t>
        </is>
      </c>
      <c r="AF11" s="950" t="inlineStr">
        <is>
          <t>Column 29</t>
        </is>
      </c>
      <c r="AG11" s="950" t="inlineStr">
        <is>
          <t>Column 30</t>
        </is>
      </c>
      <c r="AH11" s="950" t="inlineStr">
        <is>
          <t>Column 31</t>
        </is>
      </c>
      <c r="AI11" s="950" t="inlineStr">
        <is>
          <t>Column 32</t>
        </is>
      </c>
      <c r="AJ11" s="950" t="inlineStr">
        <is>
          <t>Column 33</t>
        </is>
      </c>
    </row>
    <row r="12" ht="20.25" customHeight="1" s="2828" thickBot="1">
      <c r="A12" s="2832" t="inlineStr">
        <is>
          <t>Asset / Liability / Capital Items</t>
        </is>
      </c>
      <c r="B12" s="951" t="inlineStr">
        <is>
          <t>(a)</t>
        </is>
      </c>
      <c r="C12" s="952" t="inlineStr">
        <is>
          <t>(b)</t>
        </is>
      </c>
      <c r="D12" s="952" t="inlineStr">
        <is>
          <t>(c)</t>
        </is>
      </c>
      <c r="E12" s="952" t="inlineStr">
        <is>
          <t>(d)</t>
        </is>
      </c>
      <c r="F12" s="952" t="inlineStr">
        <is>
          <t>(e)</t>
        </is>
      </c>
      <c r="G12" s="952" t="inlineStr">
        <is>
          <t>(f)</t>
        </is>
      </c>
      <c r="H12" s="952" t="inlineStr">
        <is>
          <t>(g)</t>
        </is>
      </c>
      <c r="I12" s="952" t="inlineStr">
        <is>
          <t>(h)</t>
        </is>
      </c>
      <c r="J12" s="952" t="inlineStr">
        <is>
          <t>(i)</t>
        </is>
      </c>
      <c r="K12" s="952" t="inlineStr">
        <is>
          <t>(j)</t>
        </is>
      </c>
      <c r="L12" s="952" t="inlineStr">
        <is>
          <t>(k)</t>
        </is>
      </c>
      <c r="M12" s="45" t="n"/>
      <c r="N12" s="2285" t="inlineStr">
        <is>
          <t>(l)</t>
        </is>
      </c>
      <c r="O12" s="2305" t="inlineStr">
        <is>
          <t>(m)</t>
        </is>
      </c>
      <c r="P12" s="2305" t="inlineStr">
        <is>
          <t>(n)</t>
        </is>
      </c>
      <c r="Q12" s="2305" t="inlineStr">
        <is>
          <t>(o)</t>
        </is>
      </c>
      <c r="R12" s="2305" t="inlineStr">
        <is>
          <t>(p)</t>
        </is>
      </c>
      <c r="S12" s="2305" t="inlineStr">
        <is>
          <t>(q)</t>
        </is>
      </c>
      <c r="T12" s="2305" t="inlineStr">
        <is>
          <t>(r)</t>
        </is>
      </c>
      <c r="U12" s="2305" t="inlineStr">
        <is>
          <t>(s)</t>
        </is>
      </c>
      <c r="W12" s="955" t="inlineStr">
        <is>
          <t>(t)</t>
        </is>
      </c>
      <c r="X12" s="955" t="inlineStr">
        <is>
          <t>(u)</t>
        </is>
      </c>
      <c r="Z12" s="955" t="inlineStr">
        <is>
          <t>(v)</t>
        </is>
      </c>
      <c r="AA12" s="955" t="inlineStr">
        <is>
          <t>(w)</t>
        </is>
      </c>
      <c r="AB12" s="955" t="inlineStr">
        <is>
          <t>(x)</t>
        </is>
      </c>
      <c r="AC12" s="955" t="inlineStr">
        <is>
          <t>(w)</t>
        </is>
      </c>
      <c r="AD12" s="955" t="inlineStr">
        <is>
          <t>(x)</t>
        </is>
      </c>
      <c r="AE12" s="955" t="inlineStr">
        <is>
          <t>(y)</t>
        </is>
      </c>
      <c r="AF12" s="955" t="inlineStr">
        <is>
          <t>(z)</t>
        </is>
      </c>
      <c r="AG12" s="955" t="inlineStr">
        <is>
          <t>(aa)</t>
        </is>
      </c>
      <c r="AH12" s="955" t="inlineStr">
        <is>
          <t>(ab)</t>
        </is>
      </c>
      <c r="AI12" s="955" t="inlineStr">
        <is>
          <t>(ac)</t>
        </is>
      </c>
      <c r="AJ12" s="955" t="inlineStr">
        <is>
          <t>(ad)</t>
        </is>
      </c>
    </row>
    <row r="13" ht="39.6" customHeight="1" s="2828" thickBot="1">
      <c r="A13" s="2833" t="n"/>
      <c r="B13" s="2834" t="inlineStr">
        <is>
          <t>Carrying values under scope of regulatory consolidation</t>
        </is>
      </c>
      <c r="C13" s="2835" t="inlineStr">
        <is>
          <t>Carrying values under scope of regulatory consolidation</t>
        </is>
      </c>
      <c r="D13" s="2836" t="n"/>
      <c r="E13" s="2836" t="n"/>
      <c r="F13" s="2836" t="n"/>
      <c r="G13" s="2836" t="n"/>
      <c r="H13" s="2836" t="n"/>
      <c r="I13" s="2836" t="n"/>
      <c r="J13" s="2836" t="n"/>
      <c r="K13" s="2836" t="n"/>
      <c r="L13" s="2837" t="n"/>
      <c r="M13" s="956" t="n"/>
      <c r="N13" s="957" t="n"/>
      <c r="O13" s="957" t="n"/>
      <c r="P13" s="957" t="n"/>
      <c r="Q13" s="957" t="n"/>
      <c r="R13" s="957" t="n"/>
      <c r="S13" s="957" t="n"/>
      <c r="T13" s="957" t="n"/>
      <c r="U13" s="957" t="n"/>
      <c r="W13" s="2838" t="inlineStr">
        <is>
          <t>Carrying values under scope of regulatory consolidation</t>
        </is>
      </c>
      <c r="X13" s="2837" t="n"/>
      <c r="Z13" s="2838" t="inlineStr">
        <is>
          <t>General Insurance Liabilities breakdown for public disclosure</t>
        </is>
      </c>
      <c r="AA13" s="2836" t="n"/>
      <c r="AB13" s="2836" t="n"/>
      <c r="AC13" s="2836" t="n"/>
      <c r="AD13" s="2836" t="n"/>
      <c r="AE13" s="2836" t="n"/>
      <c r="AF13" s="2836" t="n"/>
      <c r="AG13" s="2836" t="n"/>
      <c r="AH13" s="2836" t="n"/>
      <c r="AI13" s="2836" t="n"/>
      <c r="AJ13" s="2837" t="n"/>
    </row>
    <row r="14" ht="80.84999999999999" customHeight="1" s="2828" thickBot="1">
      <c r="A14" s="2833" t="n"/>
      <c r="B14" s="2839" t="n"/>
      <c r="C14" s="2840" t="inlineStr">
        <is>
          <t>Long Term Insurance Business</t>
        </is>
      </c>
      <c r="D14" s="2836" t="n"/>
      <c r="E14" s="2836" t="n"/>
      <c r="F14" s="2836" t="n"/>
      <c r="G14" s="2836" t="n"/>
      <c r="H14" s="2837" t="n"/>
      <c r="I14" s="955" t="inlineStr">
        <is>
          <t>General Insurance Business</t>
        </is>
      </c>
      <c r="J14" s="2841" t="n"/>
      <c r="K14" s="955" t="inlineStr">
        <is>
          <t>Non-insurance operations</t>
        </is>
      </c>
      <c r="L14" s="955" t="inlineStr">
        <is>
          <t>Shareholder Fund</t>
        </is>
      </c>
      <c r="M14" s="45" t="n"/>
      <c r="N14" s="2840" t="inlineStr">
        <is>
          <t>Applicable to HK insurers or designated insurers: Of which belongs to Branch insurance operations outside Hong Kong (Please fill in the jurisdiction of each branch operation outside Hong Kong in the row below)</t>
        </is>
      </c>
      <c r="O14" s="2836" t="n"/>
      <c r="P14" s="2836" t="n"/>
      <c r="Q14" s="2836" t="n"/>
      <c r="R14" s="2836" t="n"/>
      <c r="S14" s="2836" t="n"/>
      <c r="T14" s="2836" t="n"/>
      <c r="U14" s="2837" t="n"/>
      <c r="W14" s="2840" t="inlineStr">
        <is>
          <t>Total Long Term Insurance Business</t>
        </is>
      </c>
      <c r="X14" s="2840" t="inlineStr">
        <is>
          <t>Total General Insurance Business</t>
        </is>
      </c>
      <c r="Z14" s="2842" t="n"/>
      <c r="AA14" s="2292" t="inlineStr">
        <is>
          <t>Direct</t>
        </is>
      </c>
      <c r="AB14" s="2843" t="n"/>
      <c r="AC14" s="2843" t="n"/>
      <c r="AD14" s="2843" t="n"/>
      <c r="AE14" s="2843" t="n"/>
      <c r="AF14" s="2843" t="n"/>
      <c r="AG14" s="2843" t="n"/>
      <c r="AH14" s="2842" t="inlineStr">
        <is>
          <t>Reinsurance</t>
        </is>
      </c>
      <c r="AI14" s="2837" t="n"/>
      <c r="AJ14" s="2844" t="inlineStr">
        <is>
          <t>Total</t>
        </is>
      </c>
    </row>
    <row r="15" ht="58.5" customHeight="1" s="2828" thickBot="1">
      <c r="A15" s="2833" t="n"/>
      <c r="B15" s="2839" t="n"/>
      <c r="C15" s="2840" t="inlineStr">
        <is>
          <t>HK insurers or designated insurers: all long term insurance business
Branch operating in Hong Kong: all long term insurance business, other than offshore RI business if offshore RI fund is established</t>
        </is>
      </c>
      <c r="D15" s="2836" t="n"/>
      <c r="E15" s="2836" t="n"/>
      <c r="F15" s="2836" t="n"/>
      <c r="G15" s="2837" t="n"/>
      <c r="H15" s="2840" t="inlineStr">
        <is>
          <t>Applicable to branch operating in Hong Kong with offshore RI fund established: Offshore RI business related</t>
        </is>
      </c>
      <c r="I15" s="2286" t="inlineStr">
        <is>
          <t>HK insurers or designated insurers: all general insurance business
Branch operating in Hong Kong: all general insurance business, other than offshore RI business if offshore RI fund is established</t>
        </is>
      </c>
      <c r="J15" s="2840" t="inlineStr">
        <is>
          <t>Applicable to branch operating in Hong Kong with offshore RI fund established: Offshore RI business related</t>
        </is>
      </c>
      <c r="K15" s="2839" t="n"/>
      <c r="L15" s="2839" t="n"/>
      <c r="M15" s="45" t="n"/>
      <c r="N15" s="2845" t="inlineStr">
        <is>
          <t>(Jurisdiction) Branch 1</t>
        </is>
      </c>
      <c r="O15" s="2846" t="n"/>
      <c r="P15" s="2845" t="inlineStr">
        <is>
          <t>(Jurisdiction) Branch 2</t>
        </is>
      </c>
      <c r="Q15" s="2846" t="n"/>
      <c r="R15" s="2845" t="inlineStr">
        <is>
          <t>(Jurisdiction) Branch 3</t>
        </is>
      </c>
      <c r="S15" s="2846" t="n"/>
      <c r="T15" s="2845" t="inlineStr">
        <is>
          <t>(Jurisdiction) Branch 4</t>
        </is>
      </c>
      <c r="U15" s="2846" t="n"/>
      <c r="W15" s="2839" t="n"/>
      <c r="X15" s="2839" t="n"/>
      <c r="Z15" s="2839" t="n"/>
      <c r="AA15" s="2847" t="inlineStr">
        <is>
          <t>Accident &amp; Health</t>
        </is>
      </c>
      <c r="AB15" s="2847" t="inlineStr">
        <is>
          <t>Motor Vehicle</t>
        </is>
      </c>
      <c r="AC15" s="2847" t="inlineStr">
        <is>
          <t>Marine, Aviation, and Transport</t>
        </is>
      </c>
      <c r="AD15" s="2847" t="inlineStr">
        <is>
          <t>Property Damage</t>
        </is>
      </c>
      <c r="AE15" s="2847" t="inlineStr">
        <is>
          <t>Employees' Compensation</t>
        </is>
      </c>
      <c r="AF15" s="2847" t="inlineStr">
        <is>
          <t>General Liability</t>
        </is>
      </c>
      <c r="AG15" s="2847" t="inlineStr">
        <is>
          <t>Pecuniary Loss</t>
        </is>
      </c>
      <c r="AH15" s="2847" t="inlineStr">
        <is>
          <t>Proportional</t>
        </is>
      </c>
      <c r="AI15" s="2848" t="inlineStr">
        <is>
          <t>Non-Proportional</t>
        </is>
      </c>
      <c r="AJ15" s="2833" t="n"/>
    </row>
    <row r="16" ht="82.34999999999999" customHeight="1" s="2828" thickBot="1">
      <c r="A16" s="2841" t="n"/>
      <c r="B16" s="2849" t="n"/>
      <c r="C16" s="952" t="inlineStr">
        <is>
          <t>Linked Long Term (Class C)</t>
        </is>
      </c>
      <c r="D16" s="952" t="inlineStr">
        <is>
          <t>Retirement scheme category I (Class G)</t>
        </is>
      </c>
      <c r="E16" s="952" t="inlineStr">
        <is>
          <t>Retirement scheme category II (Class H)</t>
        </is>
      </c>
      <c r="F16" s="952" t="inlineStr">
        <is>
          <t>Participating Business</t>
        </is>
      </c>
      <c r="G16" s="952" t="inlineStr">
        <is>
          <t>Other Businesses</t>
        </is>
      </c>
      <c r="H16" s="2849" t="n"/>
      <c r="I16" s="2850" t="n"/>
      <c r="J16" s="2849" t="n"/>
      <c r="K16" s="2849" t="n"/>
      <c r="L16" s="2849" t="n"/>
      <c r="M16" s="45" t="n"/>
      <c r="N16" s="46" t="inlineStr">
        <is>
          <t>Total carrying values of the branch</t>
        </is>
      </c>
      <c r="O16" s="46" t="inlineStr">
        <is>
          <t>Of which belongs to Long Term Fund</t>
        </is>
      </c>
      <c r="P16" s="46" t="inlineStr">
        <is>
          <t>Total carrying values of the branch</t>
        </is>
      </c>
      <c r="Q16" s="46" t="inlineStr">
        <is>
          <t>Of which belongs to Long Term Fund</t>
        </is>
      </c>
      <c r="R16" s="46" t="inlineStr">
        <is>
          <t>Total carrying values of the branch</t>
        </is>
      </c>
      <c r="S16" s="46" t="inlineStr">
        <is>
          <t>Of which belongs to Long Term Fund</t>
        </is>
      </c>
      <c r="T16" s="46" t="inlineStr">
        <is>
          <t>Total carrying values of the branch</t>
        </is>
      </c>
      <c r="U16" s="46" t="inlineStr">
        <is>
          <t>Of which belongs to Long Term Fund</t>
        </is>
      </c>
      <c r="W16" s="2849" t="n"/>
      <c r="X16" s="2849" t="n"/>
      <c r="Z16" s="2849" t="n"/>
      <c r="AA16" s="2849" t="n"/>
      <c r="AB16" s="2849" t="n"/>
      <c r="AC16" s="2849" t="n"/>
      <c r="AD16" s="2849" t="n"/>
      <c r="AE16" s="2849" t="n"/>
      <c r="AF16" s="2849" t="n"/>
      <c r="AG16" s="2849" t="n"/>
      <c r="AH16" s="2849" t="n"/>
      <c r="AI16" s="2841" t="n"/>
      <c r="AJ16" s="2841" t="n"/>
    </row>
    <row r="17" ht="27" customHeight="1" s="2828" thickBot="1">
      <c r="A17" s="995" t="inlineStr">
        <is>
          <t>Description</t>
        </is>
      </c>
      <c r="B17" s="960" t="inlineStr">
        <is>
          <t>As at the end of reporting period</t>
        </is>
      </c>
      <c r="C17" s="2851" t="n"/>
      <c r="D17" s="2836" t="n"/>
      <c r="E17" s="2836" t="n"/>
      <c r="F17" s="2836" t="n"/>
      <c r="G17" s="2836" t="n"/>
      <c r="H17" s="2836" t="n"/>
      <c r="I17" s="2836" t="n"/>
      <c r="J17" s="2836" t="n"/>
      <c r="K17" s="2836" t="n"/>
      <c r="L17" s="2837" t="n"/>
      <c r="M17" s="45" t="n"/>
      <c r="N17" s="2842" t="inlineStr">
        <is>
          <t>As at the end of reporting period</t>
        </is>
      </c>
      <c r="O17" s="2836" t="n"/>
      <c r="P17" s="2836" t="n"/>
      <c r="Q17" s="2836" t="n"/>
      <c r="R17" s="2836" t="n"/>
      <c r="S17" s="2836" t="n"/>
      <c r="T17" s="2837" t="n"/>
      <c r="U17" s="45" t="n"/>
    </row>
    <row r="18" ht="23.85" customHeight="1" s="2828" thickBot="1">
      <c r="A18" s="2852" t="n"/>
      <c r="B18" s="962" t="inlineStr">
        <is>
          <t>(T)</t>
        </is>
      </c>
      <c r="C18" s="963" t="n"/>
      <c r="D18" s="963" t="n"/>
      <c r="E18" s="963" t="n"/>
      <c r="F18" s="963" t="n"/>
      <c r="G18" s="963" t="n"/>
      <c r="H18" s="963" t="n"/>
      <c r="I18" s="963" t="n"/>
      <c r="J18" s="963" t="n"/>
      <c r="K18" s="963" t="n"/>
      <c r="L18" s="946" t="n"/>
      <c r="M18" s="964" t="n"/>
      <c r="N18" s="965" t="n"/>
      <c r="O18" s="965" t="n"/>
      <c r="P18" s="965" t="n"/>
      <c r="Q18" s="965" t="n"/>
      <c r="R18" s="965" t="n"/>
      <c r="S18" s="965" t="n"/>
      <c r="T18" s="965" t="n"/>
      <c r="U18" s="965" t="n"/>
      <c r="W18" s="966" t="n"/>
      <c r="X18" s="966" t="n"/>
      <c r="Z18" s="967" t="n"/>
      <c r="AA18" s="966" t="n"/>
      <c r="AB18" s="966" t="n"/>
      <c r="AC18" s="966" t="n"/>
      <c r="AD18" s="966" t="n"/>
      <c r="AE18" s="966" t="n"/>
      <c r="AF18" s="966" t="n"/>
      <c r="AG18" s="966" t="n"/>
      <c r="AH18" s="966" t="n"/>
      <c r="AI18" s="966" t="n"/>
      <c r="AJ18" s="966" t="n"/>
    </row>
    <row r="19" ht="13.5" customHeight="1" s="2828" thickBot="1">
      <c r="A19" s="968" t="inlineStr">
        <is>
          <t xml:space="preserve">I – Total assets  </t>
        </is>
      </c>
      <c r="B19" s="2853" t="n"/>
      <c r="C19" s="2853" t="n"/>
      <c r="D19" s="2853" t="n"/>
      <c r="E19" s="2853" t="n"/>
      <c r="F19" s="2853" t="n"/>
      <c r="G19" s="2853" t="n"/>
      <c r="H19" s="2853" t="n"/>
      <c r="I19" s="2853" t="n"/>
      <c r="J19" s="2853" t="n"/>
      <c r="K19" s="2853" t="n"/>
      <c r="L19" s="2853" t="n"/>
      <c r="M19" s="2854" t="n"/>
      <c r="N19" s="2855" t="n"/>
      <c r="O19" s="2853" t="n"/>
      <c r="P19" s="2853" t="n"/>
      <c r="Q19" s="2853" t="n"/>
      <c r="R19" s="2853" t="n"/>
      <c r="S19" s="2853" t="n"/>
      <c r="T19" s="2853" t="n"/>
      <c r="U19" s="2853" t="n"/>
      <c r="W19" s="2855" t="n"/>
      <c r="X19" s="2855" t="n"/>
      <c r="Z19" s="2856" t="inlineStr">
        <is>
          <t>Gross Outstanding Claims Liabilities excluding MOCE</t>
        </is>
      </c>
      <c r="AA19" s="2857">
        <f>'F.G.1_ClaimLiab'!C12+'F.G.1_ClaimLiab'!C29-AA20</f>
        <v/>
      </c>
      <c r="AB19" s="2857">
        <f>'F.G.1_ClaimLiab'!C13+'F.G.1_ClaimLiab'!C30-AB20</f>
        <v/>
      </c>
      <c r="AC19" s="2857">
        <f>SUM('F.G.1_ClaimLiab'!C14:C16,'F.G.1_ClaimLiab'!C31:C33)-AC20</f>
        <v/>
      </c>
      <c r="AD19" s="2857">
        <f>'F.G.1_ClaimLiab'!C17+'F.G.1_ClaimLiab'!C34-AD20</f>
        <v/>
      </c>
      <c r="AE19" s="2857">
        <f>'F.G.1_ClaimLiab'!C18+'F.G.1_ClaimLiab'!C35-AE20</f>
        <v/>
      </c>
      <c r="AF19" s="2857">
        <f>'F.G.1_ClaimLiab'!C21+'F.G.1_ClaimLiab'!C38-AF20</f>
        <v/>
      </c>
      <c r="AG19" s="2857">
        <f>'F.G.1_ClaimLiab'!C24+'F.G.1_ClaimLiab'!C41-AG20</f>
        <v/>
      </c>
      <c r="AH19" s="2857">
        <f>'F.G.1_ClaimLiab'!C46+'F.G.1_ClaimLiab'!C60+'F.G.1_ClaimLiab'!C96+'F.G.1_ClaimLiab'!C110-AH20</f>
        <v/>
      </c>
      <c r="AI19" s="2857">
        <f>'F.G.1_ClaimLiab'!C74+'F.G.1_ClaimLiab'!C85+'F.G.1_ClaimLiab'!C124+'F.G.1_ClaimLiab'!C135-AI20</f>
        <v/>
      </c>
      <c r="AJ19" s="2857">
        <f>SUM(AA19:AI19)</f>
        <v/>
      </c>
    </row>
    <row r="20" ht="13.5" customHeight="1" s="2828" thickBot="1">
      <c r="A20" s="972" t="inlineStr">
        <is>
          <t>I.A. Goodwill</t>
        </is>
      </c>
      <c r="B20" s="2858" t="n"/>
      <c r="C20" s="2858" t="n"/>
      <c r="D20" s="2858" t="n"/>
      <c r="E20" s="2858" t="n"/>
      <c r="F20" s="2858" t="n"/>
      <c r="G20" s="2858" t="n"/>
      <c r="H20" s="2858" t="n"/>
      <c r="I20" s="2858" t="n"/>
      <c r="J20" s="2858" t="n"/>
      <c r="K20" s="2858" t="n"/>
      <c r="L20" s="2858" t="n"/>
      <c r="M20" s="2859" t="n"/>
      <c r="N20" s="2860" t="n"/>
      <c r="O20" s="2858" t="n"/>
      <c r="P20" s="2858" t="n"/>
      <c r="Q20" s="2858" t="n"/>
      <c r="R20" s="2858" t="n"/>
      <c r="S20" s="2858" t="n"/>
      <c r="T20" s="2858" t="n"/>
      <c r="U20" s="2858" t="n"/>
      <c r="W20" s="2860" t="n"/>
      <c r="X20" s="2860" t="n"/>
      <c r="Z20" s="2861" t="inlineStr">
        <is>
          <t>Gross Outstanding Claims Liabilities MOCE</t>
        </is>
      </c>
      <c r="AA20" s="2862">
        <f>'F.G.1_ClaimLiab'!J12+'F.G.1_ClaimLiab'!J29</f>
        <v/>
      </c>
      <c r="AB20" s="2862">
        <f>'F.G.1_ClaimLiab'!J13+'F.G.1_ClaimLiab'!J30</f>
        <v/>
      </c>
      <c r="AC20" s="2862">
        <f>SUM('F.G.1_ClaimLiab'!J14:J16,'F.G.1_ClaimLiab'!J31:J33)</f>
        <v/>
      </c>
      <c r="AD20" s="2862">
        <f>'F.G.1_ClaimLiab'!J17+'F.G.1_ClaimLiab'!J34</f>
        <v/>
      </c>
      <c r="AE20" s="2862">
        <f>'F.G.1_ClaimLiab'!J18+'F.G.1_ClaimLiab'!J35</f>
        <v/>
      </c>
      <c r="AF20" s="2862">
        <f>'F.G.1_ClaimLiab'!J21+'F.G.1_ClaimLiab'!J38</f>
        <v/>
      </c>
      <c r="AG20" s="2862">
        <f>'F.G.1_ClaimLiab'!J24+'F.G.1_ClaimLiab'!J41</f>
        <v/>
      </c>
      <c r="AH20" s="2862">
        <f>'F.G.1_ClaimLiab'!J46+'F.G.1_ClaimLiab'!J60+'F.G.1_ClaimLiab'!J96+'F.G.1_ClaimLiab'!J110</f>
        <v/>
      </c>
      <c r="AI20" s="2862">
        <f>'F.G.1_ClaimLiab'!J74+'F.G.1_ClaimLiab'!J85+'F.G.1_ClaimLiab'!J124+'F.G.1_ClaimLiab'!J135</f>
        <v/>
      </c>
      <c r="AJ20" s="2862">
        <f>SUM(AA20:AI20)</f>
        <v/>
      </c>
    </row>
    <row r="21" ht="13.5" customHeight="1" s="2828" thickBot="1">
      <c r="A21" s="972" t="inlineStr">
        <is>
          <t>I.B. Intangible assets</t>
        </is>
      </c>
      <c r="B21" s="2858" t="n"/>
      <c r="C21" s="2858" t="n"/>
      <c r="D21" s="2858" t="n"/>
      <c r="E21" s="2858" t="n"/>
      <c r="F21" s="2858" t="n"/>
      <c r="G21" s="2858" t="n"/>
      <c r="H21" s="2858" t="n"/>
      <c r="I21" s="2858" t="n"/>
      <c r="J21" s="2858" t="n"/>
      <c r="K21" s="2858" t="n"/>
      <c r="L21" s="2858" t="n"/>
      <c r="M21" s="2859" t="n"/>
      <c r="N21" s="2860" t="n"/>
      <c r="O21" s="2858" t="n"/>
      <c r="P21" s="2858" t="n"/>
      <c r="Q21" s="2858" t="n"/>
      <c r="R21" s="2858" t="n"/>
      <c r="S21" s="2858" t="n"/>
      <c r="T21" s="2858" t="n"/>
      <c r="U21" s="2858" t="n"/>
      <c r="W21" s="2860" t="n"/>
      <c r="X21" s="2860" t="n"/>
      <c r="Z21" s="2861" t="inlineStr">
        <is>
          <t>Gross Premium Liabilities excluding MOCE</t>
        </is>
      </c>
      <c r="AA21" s="2862">
        <f>'F.G.2_PL'!C12+'F.G.2_PL'!C29-AA22</f>
        <v/>
      </c>
      <c r="AB21" s="2862">
        <f>'F.G.2_PL'!C13+'F.G.2_PL'!C30-AB22</f>
        <v/>
      </c>
      <c r="AC21" s="2862">
        <f>SUM('F.G.2_PL'!C14:C16,'F.G.2_PL'!C31:C33)-AC22</f>
        <v/>
      </c>
      <c r="AD21" s="2862">
        <f>'F.G.2_PL'!C17+'F.G.2_PL'!C34-AD22</f>
        <v/>
      </c>
      <c r="AE21" s="2862">
        <f>'F.G.2_PL'!C18+'F.G.2_PL'!C35-AE22</f>
        <v/>
      </c>
      <c r="AF21" s="2862">
        <f>'F.G.2_PL'!C21+'F.G.2_PL'!C38-AF22</f>
        <v/>
      </c>
      <c r="AG21" s="2862">
        <f>'F.G.2_PL'!C24+'F.G.2_PL'!C41-AG22</f>
        <v/>
      </c>
      <c r="AH21" s="2862">
        <f>'F.G.2_PL'!C46+'F.G.2_PL'!C60+'F.G.2_PL'!C96+'F.G.2_PL'!C110-AH22</f>
        <v/>
      </c>
      <c r="AI21" s="2862">
        <f>'F.G.2_PL'!C74+'F.G.2_PL'!C85+'F.G.2_PL'!C124+'F.G.2_PL'!C135-AI22</f>
        <v/>
      </c>
      <c r="AJ21" s="2862">
        <f>SUM(AA21:AI21)</f>
        <v/>
      </c>
    </row>
    <row r="22" ht="26.25" customHeight="1" s="2828" thickBot="1">
      <c r="A22" s="972" t="inlineStr">
        <is>
          <t>I.C. Cash and cash equivalents, and statutory deposits</t>
        </is>
      </c>
      <c r="B22" s="2863" t="n">
        <v>2850</v>
      </c>
      <c r="C22" s="2863">
        <f>SUM(C23:C24)</f>
        <v/>
      </c>
      <c r="D22" s="2863">
        <f>SUM(D23:D24)</f>
        <v/>
      </c>
      <c r="E22" s="2863">
        <f>SUM(E23:E24)</f>
        <v/>
      </c>
      <c r="F22" s="2863">
        <f>SUM(F23:F24)</f>
        <v/>
      </c>
      <c r="G22" s="2863">
        <f>SUM(G23:G24)</f>
        <v/>
      </c>
      <c r="H22" s="2863">
        <f>SUM(H23:H24)</f>
        <v/>
      </c>
      <c r="I22" s="2863">
        <f>SUM(I23:I24)</f>
        <v/>
      </c>
      <c r="J22" s="2863">
        <f>SUM(J23:J24)</f>
        <v/>
      </c>
      <c r="K22" s="2863">
        <f>SUM(K23:K24)</f>
        <v/>
      </c>
      <c r="L22" s="2863">
        <f>SUM(L23:L24)</f>
        <v/>
      </c>
      <c r="M22" s="2859" t="n"/>
      <c r="N22" s="2862">
        <f>SUM(N23:N24)</f>
        <v/>
      </c>
      <c r="O22" s="2864" t="n"/>
      <c r="P22" s="2863">
        <f>SUM(P23:P24)</f>
        <v/>
      </c>
      <c r="Q22" s="2864" t="n"/>
      <c r="R22" s="2863">
        <f>SUM(R23:R24)</f>
        <v/>
      </c>
      <c r="S22" s="2864" t="n"/>
      <c r="T22" s="2863">
        <f>SUM(T23:T24)</f>
        <v/>
      </c>
      <c r="U22" s="2864" t="n"/>
      <c r="W22" s="2862">
        <f>SUM(C22:H22)</f>
        <v/>
      </c>
      <c r="X22" s="2862">
        <f>SUM(I22:J22)</f>
        <v/>
      </c>
      <c r="Z22" s="2865" t="inlineStr">
        <is>
          <t>Gross Premium Liabilities MOCE</t>
        </is>
      </c>
      <c r="AA22" s="2866">
        <f>'F.G.2A_PL_Recog'!K12+'F.G.2A_PL_Recog'!K29+'F.G.2B_PL_notRecog'!K12+'F.G.2B_PL_notRecog'!K29</f>
        <v/>
      </c>
      <c r="AB22" s="2866">
        <f>'F.G.2A_PL_Recog'!K13+'F.G.2A_PL_Recog'!K30+'F.G.2B_PL_notRecog'!K13+'F.G.2B_PL_notRecog'!K30</f>
        <v/>
      </c>
      <c r="AC22" s="2866">
        <f>SUM('F.G.2A_PL_Recog'!K14:K16,'F.G.2A_PL_Recog'!K31:K33)+SUM('F.G.2B_PL_notRecog'!K14:K16,'F.G.2B_PL_notRecog'!K31:K33)</f>
        <v/>
      </c>
      <c r="AD22" s="2866">
        <f>'F.G.2A_PL_Recog'!K17+'F.G.2A_PL_Recog'!K34+'F.G.2B_PL_notRecog'!K17+'F.G.2B_PL_notRecog'!K34</f>
        <v/>
      </c>
      <c r="AE22" s="2866">
        <f>'F.G.2A_PL_Recog'!K18+'F.G.2A_PL_Recog'!K35+'F.G.2B_PL_notRecog'!K18+'F.G.2B_PL_notRecog'!K35</f>
        <v/>
      </c>
      <c r="AF22" s="2866">
        <f>'F.G.2A_PL_Recog'!K21+'F.G.2A_PL_Recog'!K38+'F.G.2B_PL_notRecog'!K21+'F.G.2B_PL_notRecog'!K38</f>
        <v/>
      </c>
      <c r="AG22" s="2866">
        <f>'F.G.2A_PL_Recog'!K24+'F.G.2A_PL_Recog'!K41+'F.G.2B_PL_notRecog'!K24+'F.G.2B_PL_notRecog'!K41</f>
        <v/>
      </c>
      <c r="AH22" s="2866">
        <f>'F.G.2A_PL_Recog'!K46+'F.G.2A_PL_Recog'!K60+'F.G.2A_PL_Recog'!K96+'F.G.2A_PL_Recog'!K110+'F.G.2B_PL_notRecog'!K46+'F.G.2B_PL_notRecog'!K60+'F.G.2B_PL_notRecog'!K96+'F.G.2B_PL_notRecog'!K110</f>
        <v/>
      </c>
      <c r="AI22" s="2866">
        <f>'F.G.2A_PL_Recog'!K74+'F.G.2A_PL_Recog'!K85+'F.G.2A_PL_Recog'!K124+'F.G.2A_PL_Recog'!K135+'F.G.2B_PL_notRecog'!K74+'F.G.2B_PL_notRecog'!K85+'F.G.2B_PL_notRecog'!K124+'F.G.2B_PL_notRecog'!K135</f>
        <v/>
      </c>
      <c r="AJ22" s="2866">
        <f>SUM(AA22:AI22)</f>
        <v/>
      </c>
    </row>
    <row r="23" ht="13.5" customHeight="1" s="2828" thickBot="1">
      <c r="A23" s="974" t="inlineStr">
        <is>
          <t>I.C1. Statutory deposits</t>
        </is>
      </c>
      <c r="B23" s="2867" t="n">
        <v>1200</v>
      </c>
      <c r="C23" s="2864" t="n"/>
      <c r="D23" s="2864" t="n"/>
      <c r="E23" s="2864" t="n"/>
      <c r="F23" s="2864" t="n"/>
      <c r="G23" s="2864" t="n"/>
      <c r="H23" s="2864" t="n"/>
      <c r="I23" s="2864" t="n"/>
      <c r="J23" s="2864" t="n"/>
      <c r="K23" s="2864" t="n"/>
      <c r="L23" s="2864" t="n"/>
      <c r="M23" s="2868" t="n"/>
      <c r="N23" s="2869" t="n"/>
      <c r="O23" s="2870" t="n"/>
      <c r="P23" s="2864" t="n"/>
      <c r="Q23" s="2870" t="n"/>
      <c r="R23" s="2864" t="n"/>
      <c r="S23" s="2870" t="n"/>
      <c r="T23" s="2864" t="n"/>
      <c r="U23" s="2870" t="n"/>
      <c r="W23" s="2862">
        <f>SUM(C23:H23)</f>
        <v/>
      </c>
      <c r="X23" s="2862">
        <f>SUM(I23:J23)</f>
        <v/>
      </c>
      <c r="Z23" s="2856" t="inlineStr">
        <is>
          <t>Gross General insurance liabilities excluding 'Other General Insurance Liabilties'</t>
        </is>
      </c>
      <c r="AA23" s="2857">
        <f>SUM(AA19:AA22)</f>
        <v/>
      </c>
      <c r="AB23" s="2857">
        <f>SUM(AB19:AB22)</f>
        <v/>
      </c>
      <c r="AC23" s="2857">
        <f>SUM(AC19:AC22)</f>
        <v/>
      </c>
      <c r="AD23" s="2857">
        <f>SUM(AD19:AD22)</f>
        <v/>
      </c>
      <c r="AE23" s="2857">
        <f>SUM(AE19:AE22)</f>
        <v/>
      </c>
      <c r="AF23" s="2857">
        <f>SUM(AF19:AF22)</f>
        <v/>
      </c>
      <c r="AG23" s="2857">
        <f>SUM(AG19:AG22)</f>
        <v/>
      </c>
      <c r="AH23" s="2857">
        <f>SUM(AH19:AH22)</f>
        <v/>
      </c>
      <c r="AI23" s="2857">
        <f>SUM(AI19:AI22)</f>
        <v/>
      </c>
      <c r="AJ23" s="2857">
        <f>SUM(AA23:AI23)</f>
        <v/>
      </c>
    </row>
    <row r="24" ht="13.5" customHeight="1" s="2828" thickBot="1">
      <c r="A24" s="974" t="inlineStr">
        <is>
          <t>I.C2. Non-statutory or other deposits</t>
        </is>
      </c>
      <c r="B24" s="2867" t="n">
        <v>1650</v>
      </c>
      <c r="C24" s="2864" t="n"/>
      <c r="D24" s="2864" t="n"/>
      <c r="E24" s="2864" t="n"/>
      <c r="F24" s="2864" t="n"/>
      <c r="G24" s="2864" t="n"/>
      <c r="H24" s="2864" t="n"/>
      <c r="I24" s="2864" t="n"/>
      <c r="J24" s="2864" t="n"/>
      <c r="K24" s="2864" t="n"/>
      <c r="L24" s="2864" t="n"/>
      <c r="M24" s="2868" t="n"/>
      <c r="N24" s="2869" t="n"/>
      <c r="O24" s="2870" t="n"/>
      <c r="P24" s="2864" t="n"/>
      <c r="Q24" s="2870" t="n"/>
      <c r="R24" s="2864" t="n"/>
      <c r="S24" s="2870" t="n"/>
      <c r="T24" s="2864" t="n"/>
      <c r="U24" s="2870" t="n"/>
      <c r="W24" s="2862">
        <f>SUM(C24:H24)</f>
        <v/>
      </c>
      <c r="X24" s="2862">
        <f>SUM(I24:J24)</f>
        <v/>
      </c>
      <c r="Z24" s="2865" t="inlineStr">
        <is>
          <t>Net General insurance liabilities excluding 'Other General Insurance Liabilties'</t>
        </is>
      </c>
      <c r="AA24" s="2866">
        <f>'F.G.1_ClaimLiab'!E12+'F.G.1_ClaimLiab'!E29+'F.G.2_PL'!E12+'F.G.2_PL'!E29</f>
        <v/>
      </c>
      <c r="AB24" s="2866">
        <f>'F.G.1_ClaimLiab'!E13+'F.G.1_ClaimLiab'!E30+'F.G.2_PL'!E13+'F.G.2_PL'!E30</f>
        <v/>
      </c>
      <c r="AC24" s="2866">
        <f>SUM('F.G.1_ClaimLiab'!E14:E16,'F.G.1_ClaimLiab'!E31:E33)+SUM('F.G.2_PL'!E14:E16,'F.G.2_PL'!E31:E33)</f>
        <v/>
      </c>
      <c r="AD24" s="2866">
        <f>'F.G.1_ClaimLiab'!E17+'F.G.1_ClaimLiab'!E34+'F.G.2_PL'!E17+'F.G.2_PL'!E34</f>
        <v/>
      </c>
      <c r="AE24" s="2866">
        <f>'F.G.1_ClaimLiab'!E18+'F.G.1_ClaimLiab'!E35+'F.G.2_PL'!E18+'F.G.2_PL'!E35</f>
        <v/>
      </c>
      <c r="AF24" s="2866">
        <f>'F.G.1_ClaimLiab'!E21+'F.G.1_ClaimLiab'!E38+'F.G.2_PL'!E21+'F.G.2_PL'!E38</f>
        <v/>
      </c>
      <c r="AG24" s="2866">
        <f>'F.G.1_ClaimLiab'!E24+'F.G.1_ClaimLiab'!E41+'F.G.2_PL'!E24+'F.G.2_PL'!E41</f>
        <v/>
      </c>
      <c r="AH24" s="2866">
        <f>'F.G.1_ClaimLiab'!E46+'F.G.1_ClaimLiab'!E60+'F.G.1_ClaimLiab'!E96+'F.G.1_ClaimLiab'!E110+'F.G.2_PL'!E46+'F.G.2_PL'!E60+'F.G.2_PL'!E96+'F.G.2_PL'!E110</f>
        <v/>
      </c>
      <c r="AI24" s="2866">
        <f>'F.G.1_ClaimLiab'!E74+'F.G.1_ClaimLiab'!E85+'F.G.1_ClaimLiab'!E124+'F.G.1_ClaimLiab'!E135+'F.G.2_PL'!E74+'F.G.2_PL'!E85+'F.G.2_PL'!E124+'F.G.2_PL'!E135</f>
        <v/>
      </c>
      <c r="AJ24" s="2866">
        <f>SUM(AA24:AI24)</f>
        <v/>
      </c>
    </row>
    <row r="25" ht="39.6" customHeight="1" s="2828" thickBot="1">
      <c r="A25" s="972" t="inlineStr">
        <is>
          <t>I.D. Deposits with original maturity more than three months</t>
        </is>
      </c>
      <c r="B25" s="2867">
        <f>SUM(C25:L25)</f>
        <v/>
      </c>
      <c r="C25" s="2871" t="n"/>
      <c r="D25" s="2871" t="n"/>
      <c r="E25" s="2871" t="n"/>
      <c r="F25" s="2871" t="n"/>
      <c r="G25" s="2871" t="n"/>
      <c r="H25" s="2871" t="n"/>
      <c r="I25" s="2871" t="n"/>
      <c r="J25" s="2871" t="n"/>
      <c r="K25" s="2871" t="n"/>
      <c r="L25" s="2871" t="n"/>
      <c r="M25" s="2859" t="n"/>
      <c r="N25" s="2872" t="n"/>
      <c r="O25" s="2871" t="n"/>
      <c r="P25" s="2871" t="n"/>
      <c r="Q25" s="2871" t="n"/>
      <c r="R25" s="2871" t="n"/>
      <c r="S25" s="2871" t="n"/>
      <c r="T25" s="2871" t="n"/>
      <c r="U25" s="2871" t="n"/>
      <c r="W25" s="2862">
        <f>SUM(C25:H25)</f>
        <v/>
      </c>
      <c r="X25" s="2862">
        <f>SUM(I25:J25)</f>
        <v/>
      </c>
      <c r="Z25" s="2873" t="inlineStr">
        <is>
          <t>Net General insurance liabilities</t>
        </is>
      </c>
      <c r="AA25" s="2874" t="n"/>
      <c r="AB25" s="2836" t="n"/>
      <c r="AC25" s="2836" t="n"/>
      <c r="AD25" s="2836" t="n"/>
      <c r="AE25" s="2836" t="n"/>
      <c r="AF25" s="2836" t="n"/>
      <c r="AG25" s="2836" t="n"/>
      <c r="AH25" s="2836" t="n"/>
      <c r="AI25" s="2837" t="n"/>
      <c r="AJ25" s="2875">
        <f>AJ24+B87</f>
        <v/>
      </c>
    </row>
    <row r="26" ht="13.5" customHeight="1" s="2828" thickBot="1">
      <c r="A26" s="972" t="inlineStr">
        <is>
          <t xml:space="preserve">I.E. Debt securities </t>
        </is>
      </c>
      <c r="B26" s="2863" t="n">
        <v>28400</v>
      </c>
      <c r="C26" s="2863">
        <f>SUM(C27:C32)</f>
        <v/>
      </c>
      <c r="D26" s="2863">
        <f>SUM(D27:D32)</f>
        <v/>
      </c>
      <c r="E26" s="2863">
        <f>SUM(E27:E32)</f>
        <v/>
      </c>
      <c r="F26" s="2863">
        <f>SUM(F27:F32)</f>
        <v/>
      </c>
      <c r="G26" s="2863">
        <f>SUM(G27:G32)</f>
        <v/>
      </c>
      <c r="H26" s="2863">
        <f>SUM(H27:H32)</f>
        <v/>
      </c>
      <c r="I26" s="2863">
        <f>SUM(I27:I32)</f>
        <v/>
      </c>
      <c r="J26" s="2863">
        <f>SUM(J27:J32)</f>
        <v/>
      </c>
      <c r="K26" s="2863">
        <f>SUM(K27:K32)</f>
        <v/>
      </c>
      <c r="L26" s="2863">
        <f>SUM(L27:L32)</f>
        <v/>
      </c>
      <c r="M26" s="2859" t="n"/>
      <c r="N26" s="2862">
        <f>SUM(N27:N32)</f>
        <v/>
      </c>
      <c r="O26" s="2871" t="n"/>
      <c r="P26" s="2863">
        <f>SUM(P27:P32)</f>
        <v/>
      </c>
      <c r="Q26" s="2871" t="n"/>
      <c r="R26" s="2863">
        <f>SUM(R27:R32)</f>
        <v/>
      </c>
      <c r="S26" s="2871" t="n"/>
      <c r="T26" s="2863">
        <f>SUM(T27:T32)</f>
        <v/>
      </c>
      <c r="U26" s="2871" t="n"/>
      <c r="W26" s="2862">
        <f>SUM(C26:H26)</f>
        <v/>
      </c>
      <c r="X26" s="2862">
        <f>SUM(I26:J26)</f>
        <v/>
      </c>
    </row>
    <row r="27" ht="13.5" customHeight="1" s="2828" thickBot="1">
      <c r="A27" s="974" t="inlineStr">
        <is>
          <t>I.E1. Sovereign issued</t>
        </is>
      </c>
      <c r="B27" s="2867" t="n">
        <v>6200</v>
      </c>
      <c r="C27" s="2864" t="n"/>
      <c r="D27" s="2864" t="n"/>
      <c r="E27" s="2864" t="n"/>
      <c r="F27" s="2864" t="n"/>
      <c r="G27" s="2864" t="n"/>
      <c r="H27" s="2864" t="n"/>
      <c r="I27" s="2864" t="n"/>
      <c r="J27" s="2864" t="n"/>
      <c r="K27" s="2864" t="n"/>
      <c r="L27" s="2864" t="n"/>
      <c r="M27" s="2868" t="n"/>
      <c r="N27" s="2869" t="n"/>
      <c r="O27" s="2870" t="n"/>
      <c r="P27" s="2864" t="n"/>
      <c r="Q27" s="2870" t="n"/>
      <c r="R27" s="2864" t="n"/>
      <c r="S27" s="2870" t="n"/>
      <c r="T27" s="2864" t="n"/>
      <c r="U27" s="2870" t="n"/>
      <c r="W27" s="2862">
        <f>SUM(C27:H27)</f>
        <v/>
      </c>
      <c r="X27" s="2862">
        <f>SUM(I27:J27)</f>
        <v/>
      </c>
    </row>
    <row r="28" ht="39" customHeight="1" s="2828" thickBot="1">
      <c r="A28" s="974" t="inlineStr">
        <is>
          <t>I.E2. Issued by domestic public sector entity and other public sector entity fully guaranteed by government or central banks</t>
        </is>
      </c>
      <c r="B28" s="2867">
        <f>SUM(C28:L28)</f>
        <v/>
      </c>
      <c r="C28" s="2864" t="n"/>
      <c r="D28" s="2864" t="n"/>
      <c r="E28" s="2864" t="n"/>
      <c r="F28" s="2864" t="n"/>
      <c r="G28" s="2864" t="n"/>
      <c r="H28" s="2864" t="n"/>
      <c r="I28" s="2864" t="n"/>
      <c r="J28" s="2864" t="n"/>
      <c r="K28" s="2864" t="n"/>
      <c r="L28" s="2864" t="n"/>
      <c r="M28" s="2868" t="n"/>
      <c r="N28" s="2869" t="n"/>
      <c r="O28" s="2870" t="n"/>
      <c r="P28" s="2864" t="n"/>
      <c r="Q28" s="2870" t="n"/>
      <c r="R28" s="2864" t="n"/>
      <c r="S28" s="2870" t="n"/>
      <c r="T28" s="2864" t="n"/>
      <c r="U28" s="2870" t="n"/>
      <c r="W28" s="2862">
        <f>SUM(C28:H28)</f>
        <v/>
      </c>
      <c r="X28" s="2862">
        <f>SUM(I28:J28)</f>
        <v/>
      </c>
    </row>
    <row r="29" ht="13.5" customHeight="1" s="2828" thickBot="1">
      <c r="A29" s="974" t="inlineStr">
        <is>
          <t>I.E3. Corporate issued</t>
        </is>
      </c>
      <c r="B29" s="2867" t="n">
        <v>19500</v>
      </c>
      <c r="C29" s="2864" t="n"/>
      <c r="D29" s="2864" t="n"/>
      <c r="E29" s="2864" t="n"/>
      <c r="F29" s="2864" t="n"/>
      <c r="G29" s="2864" t="n"/>
      <c r="H29" s="2864" t="n"/>
      <c r="I29" s="2864" t="n"/>
      <c r="J29" s="2864" t="n"/>
      <c r="K29" s="2864" t="n"/>
      <c r="L29" s="2864" t="n"/>
      <c r="M29" s="2868" t="n"/>
      <c r="N29" s="2869" t="n"/>
      <c r="O29" s="2870" t="n"/>
      <c r="P29" s="2864" t="n"/>
      <c r="Q29" s="2870" t="n"/>
      <c r="R29" s="2864" t="n"/>
      <c r="S29" s="2870" t="n"/>
      <c r="T29" s="2864" t="n"/>
      <c r="U29" s="2870" t="n"/>
      <c r="W29" s="2862">
        <f>SUM(C29:H29)</f>
        <v/>
      </c>
      <c r="X29" s="2862">
        <f>SUM(I29:J29)</f>
        <v/>
      </c>
    </row>
    <row r="30" ht="13.5" customHeight="1" s="2828" thickBot="1">
      <c r="A30" s="974" t="inlineStr">
        <is>
          <t xml:space="preserve">I.E4. Asset backed securities </t>
        </is>
      </c>
      <c r="B30" s="2867" t="n">
        <v>1800</v>
      </c>
      <c r="C30" s="2864" t="n"/>
      <c r="D30" s="2864" t="n"/>
      <c r="E30" s="2864" t="n"/>
      <c r="F30" s="2864" t="n"/>
      <c r="G30" s="2864" t="n"/>
      <c r="H30" s="2864" t="n"/>
      <c r="I30" s="2864" t="n"/>
      <c r="J30" s="2864" t="n"/>
      <c r="K30" s="2864" t="n"/>
      <c r="L30" s="2864" t="n"/>
      <c r="M30" s="2868" t="n"/>
      <c r="N30" s="2869" t="n"/>
      <c r="O30" s="2870" t="n"/>
      <c r="P30" s="2864" t="n"/>
      <c r="Q30" s="2870" t="n"/>
      <c r="R30" s="2864" t="n"/>
      <c r="S30" s="2870" t="n"/>
      <c r="T30" s="2864" t="n"/>
      <c r="U30" s="2870" t="n"/>
      <c r="W30" s="2862">
        <f>SUM(C30:H30)</f>
        <v/>
      </c>
      <c r="X30" s="2862">
        <f>SUM(I30:J30)</f>
        <v/>
      </c>
    </row>
    <row r="31" ht="13.5" customHeight="1" s="2828" thickBot="1">
      <c r="A31" s="974" t="inlineStr">
        <is>
          <t>I.E5. Other structured securities</t>
        </is>
      </c>
      <c r="B31" s="2867">
        <f>SUM(C31:L31)</f>
        <v/>
      </c>
      <c r="C31" s="2864" t="n"/>
      <c r="D31" s="2864" t="n"/>
      <c r="E31" s="2864" t="n"/>
      <c r="F31" s="2864" t="n"/>
      <c r="G31" s="2864" t="n"/>
      <c r="H31" s="2864" t="n"/>
      <c r="I31" s="2864" t="n"/>
      <c r="J31" s="2864" t="n"/>
      <c r="K31" s="2864" t="n"/>
      <c r="L31" s="2864" t="n"/>
      <c r="M31" s="2868" t="n"/>
      <c r="N31" s="2869" t="n"/>
      <c r="O31" s="2870" t="n"/>
      <c r="P31" s="2864" t="n"/>
      <c r="Q31" s="2870" t="n"/>
      <c r="R31" s="2864" t="n"/>
      <c r="S31" s="2870" t="n"/>
      <c r="T31" s="2864" t="n"/>
      <c r="U31" s="2870" t="n"/>
      <c r="W31" s="2862">
        <f>SUM(C31:H31)</f>
        <v/>
      </c>
      <c r="X31" s="2862">
        <f>SUM(I31:J31)</f>
        <v/>
      </c>
    </row>
    <row r="32" ht="13.5" customHeight="1" s="2828" thickBot="1">
      <c r="A32" s="974" t="inlineStr">
        <is>
          <t>I.E6. Other debt securities</t>
        </is>
      </c>
      <c r="B32" s="2867" t="n">
        <v>900</v>
      </c>
      <c r="C32" s="2864" t="n"/>
      <c r="D32" s="2864" t="n"/>
      <c r="E32" s="2864" t="n"/>
      <c r="F32" s="2864" t="n"/>
      <c r="G32" s="2864" t="n"/>
      <c r="H32" s="2864" t="n"/>
      <c r="I32" s="2864" t="n"/>
      <c r="J32" s="2864" t="n"/>
      <c r="K32" s="2864" t="n"/>
      <c r="L32" s="2864" t="n"/>
      <c r="M32" s="2868" t="n"/>
      <c r="N32" s="2869" t="n"/>
      <c r="O32" s="2870" t="n"/>
      <c r="P32" s="2864" t="n"/>
      <c r="Q32" s="2870" t="n"/>
      <c r="R32" s="2864" t="n"/>
      <c r="S32" s="2870" t="n"/>
      <c r="T32" s="2864" t="n"/>
      <c r="U32" s="2870" t="n"/>
      <c r="W32" s="2862">
        <f>SUM(C32:H32)</f>
        <v/>
      </c>
      <c r="X32" s="2862">
        <f>SUM(I32:J32)</f>
        <v/>
      </c>
    </row>
    <row r="33" ht="13.5" customHeight="1" s="2828" thickBot="1">
      <c r="A33" s="972" t="inlineStr">
        <is>
          <t>I.F. Equities</t>
        </is>
      </c>
      <c r="B33" s="2863" t="n">
        <v>920</v>
      </c>
      <c r="C33" s="2863">
        <f>SUM(C34:C38)</f>
        <v/>
      </c>
      <c r="D33" s="2863">
        <f>SUM(D34:D38)</f>
        <v/>
      </c>
      <c r="E33" s="2863">
        <f>SUM(E34:E38)</f>
        <v/>
      </c>
      <c r="F33" s="2863">
        <f>SUM(F34:F38)</f>
        <v/>
      </c>
      <c r="G33" s="2863">
        <f>SUM(G34:G38)</f>
        <v/>
      </c>
      <c r="H33" s="2863">
        <f>SUM(H34:H38)</f>
        <v/>
      </c>
      <c r="I33" s="2863">
        <f>SUM(I34:I38)</f>
        <v/>
      </c>
      <c r="J33" s="2863">
        <f>SUM(J34:J38)</f>
        <v/>
      </c>
      <c r="K33" s="2863">
        <f>SUM(K34:K38)</f>
        <v/>
      </c>
      <c r="L33" s="2863">
        <f>SUM(L34:L38)</f>
        <v/>
      </c>
      <c r="M33" s="2859" t="n"/>
      <c r="N33" s="2862">
        <f>SUM(N34:N38)</f>
        <v/>
      </c>
      <c r="O33" s="2864" t="n"/>
      <c r="P33" s="2863">
        <f>SUM(P34:P38)</f>
        <v/>
      </c>
      <c r="Q33" s="2864" t="n"/>
      <c r="R33" s="2863">
        <f>SUM(R34:R38)</f>
        <v/>
      </c>
      <c r="S33" s="2864" t="n"/>
      <c r="T33" s="2863">
        <f>SUM(T34:T38)</f>
        <v/>
      </c>
      <c r="U33" s="2864" t="n"/>
      <c r="W33" s="2862">
        <f>SUM(C33:H33)</f>
        <v/>
      </c>
      <c r="X33" s="2862">
        <f>SUM(I33:J33)</f>
        <v/>
      </c>
    </row>
    <row r="34" ht="13.5" customHeight="1" s="2828" thickBot="1">
      <c r="A34" s="974" t="inlineStr">
        <is>
          <t>I.F1. Listed equities</t>
        </is>
      </c>
      <c r="B34" s="2867" t="n">
        <v>920</v>
      </c>
      <c r="C34" s="2864" t="n"/>
      <c r="D34" s="2864" t="n"/>
      <c r="E34" s="2864" t="n"/>
      <c r="F34" s="2864" t="n"/>
      <c r="G34" s="2864" t="n"/>
      <c r="H34" s="2864" t="n"/>
      <c r="I34" s="2864" t="n"/>
      <c r="J34" s="2864" t="n"/>
      <c r="K34" s="2864" t="n"/>
      <c r="L34" s="2864" t="n"/>
      <c r="M34" s="2868" t="n"/>
      <c r="N34" s="2869" t="n"/>
      <c r="O34" s="2870" t="n"/>
      <c r="P34" s="2864" t="n"/>
      <c r="Q34" s="2870" t="n"/>
      <c r="R34" s="2864" t="n"/>
      <c r="S34" s="2870" t="n"/>
      <c r="T34" s="2864" t="n"/>
      <c r="U34" s="2870" t="n"/>
      <c r="W34" s="2862">
        <f>SUM(C34:H34)</f>
        <v/>
      </c>
      <c r="X34" s="2862">
        <f>SUM(I34:J34)</f>
        <v/>
      </c>
    </row>
    <row r="35" ht="13.5" customHeight="1" s="2828" thickBot="1">
      <c r="A35" s="974" t="inlineStr">
        <is>
          <t>I.F2. Unlisted or private equities</t>
        </is>
      </c>
      <c r="B35" s="2867">
        <f>SUM(C35:L35)</f>
        <v/>
      </c>
      <c r="C35" s="2864" t="n"/>
      <c r="D35" s="2864" t="n"/>
      <c r="E35" s="2864" t="n"/>
      <c r="F35" s="2864" t="n"/>
      <c r="G35" s="2864" t="n"/>
      <c r="H35" s="2864" t="n"/>
      <c r="I35" s="2864" t="n"/>
      <c r="J35" s="2864" t="n"/>
      <c r="K35" s="2864" t="n"/>
      <c r="L35" s="2864" t="n"/>
      <c r="M35" s="2868" t="n"/>
      <c r="N35" s="2869" t="n"/>
      <c r="O35" s="2870" t="n"/>
      <c r="P35" s="2864" t="n"/>
      <c r="Q35" s="2870" t="n"/>
      <c r="R35" s="2864" t="n"/>
      <c r="S35" s="2870" t="n"/>
      <c r="T35" s="2864" t="n"/>
      <c r="U35" s="2870" t="n"/>
      <c r="W35" s="2862">
        <f>SUM(C35:H35)</f>
        <v/>
      </c>
      <c r="X35" s="2862">
        <f>SUM(I35:J35)</f>
        <v/>
      </c>
    </row>
    <row r="36" ht="13.5" customHeight="1" s="2828" thickBot="1">
      <c r="A36" s="974" t="inlineStr">
        <is>
          <t xml:space="preserve">I.F3. Portfolio Investment  </t>
        </is>
      </c>
      <c r="B36" s="2867">
        <f>SUM(C36:L36)</f>
        <v/>
      </c>
      <c r="C36" s="2864" t="n"/>
      <c r="D36" s="2864" t="n"/>
      <c r="E36" s="2864" t="n"/>
      <c r="F36" s="2864" t="n"/>
      <c r="G36" s="2864" t="n"/>
      <c r="H36" s="2864" t="n"/>
      <c r="I36" s="2864" t="n"/>
      <c r="J36" s="2864" t="n"/>
      <c r="K36" s="2864" t="n"/>
      <c r="L36" s="2864" t="n"/>
      <c r="M36" s="2868" t="n"/>
      <c r="N36" s="2869" t="n"/>
      <c r="O36" s="2870" t="n"/>
      <c r="P36" s="2864" t="n"/>
      <c r="Q36" s="2870" t="n"/>
      <c r="R36" s="2864" t="n"/>
      <c r="S36" s="2870" t="n"/>
      <c r="T36" s="2864" t="n"/>
      <c r="U36" s="2870" t="n"/>
      <c r="W36" s="2862">
        <f>SUM(C36:H36)</f>
        <v/>
      </c>
      <c r="X36" s="2862">
        <f>SUM(I36:J36)</f>
        <v/>
      </c>
    </row>
    <row r="37" ht="13.5" customHeight="1" s="2828" thickBot="1">
      <c r="A37" s="974" t="inlineStr">
        <is>
          <t>I.F4. Hybrid equities and preference equities</t>
        </is>
      </c>
      <c r="B37" s="2867">
        <f>SUM(C37:L37)</f>
        <v/>
      </c>
      <c r="C37" s="2864" t="n"/>
      <c r="D37" s="2864" t="n"/>
      <c r="E37" s="2864" t="n"/>
      <c r="F37" s="2864" t="n"/>
      <c r="G37" s="2864" t="n"/>
      <c r="H37" s="2864" t="n"/>
      <c r="I37" s="2864" t="n"/>
      <c r="J37" s="2864" t="n"/>
      <c r="K37" s="2864" t="n"/>
      <c r="L37" s="2864" t="n"/>
      <c r="M37" s="2868" t="n"/>
      <c r="N37" s="2869" t="n"/>
      <c r="O37" s="2870" t="n"/>
      <c r="P37" s="2864" t="n"/>
      <c r="Q37" s="2870" t="n"/>
      <c r="R37" s="2864" t="n"/>
      <c r="S37" s="2870" t="n"/>
      <c r="T37" s="2864" t="n"/>
      <c r="U37" s="2870" t="n"/>
      <c r="W37" s="2862">
        <f>SUM(C37:H37)</f>
        <v/>
      </c>
      <c r="X37" s="2862">
        <f>SUM(I37:J37)</f>
        <v/>
      </c>
    </row>
    <row r="38" ht="13.5" customHeight="1" s="2828" thickBot="1">
      <c r="A38" s="974" t="inlineStr">
        <is>
          <t>I.F5. Strategic investments</t>
        </is>
      </c>
      <c r="B38" s="2867">
        <f>SUM(C38:L38)</f>
        <v/>
      </c>
      <c r="C38" s="2864" t="n"/>
      <c r="D38" s="2864" t="n"/>
      <c r="E38" s="2864" t="n"/>
      <c r="F38" s="2864" t="n"/>
      <c r="G38" s="2864" t="n"/>
      <c r="H38" s="2864" t="n"/>
      <c r="I38" s="2864" t="n"/>
      <c r="J38" s="2864" t="n"/>
      <c r="K38" s="2864" t="n"/>
      <c r="L38" s="2864" t="n"/>
      <c r="M38" s="2868" t="n"/>
      <c r="N38" s="2869" t="n"/>
      <c r="O38" s="2870" t="n"/>
      <c r="P38" s="2864" t="n"/>
      <c r="Q38" s="2870" t="n"/>
      <c r="R38" s="2864" t="n"/>
      <c r="S38" s="2870" t="n"/>
      <c r="T38" s="2864" t="n"/>
      <c r="U38" s="2870" t="n"/>
      <c r="W38" s="2862">
        <f>SUM(C38:H38)</f>
        <v/>
      </c>
      <c r="X38" s="2862">
        <f>SUM(I38:J38)</f>
        <v/>
      </c>
    </row>
    <row r="39" ht="13.5" customHeight="1" s="2828" thickBot="1">
      <c r="A39" s="972" t="inlineStr">
        <is>
          <t>I.G. Derivative financial instruments</t>
        </is>
      </c>
      <c r="B39" s="2867">
        <f>SUM(C39:L39)</f>
        <v/>
      </c>
      <c r="C39" s="2876" t="n"/>
      <c r="D39" s="2876" t="n"/>
      <c r="E39" s="2876" t="n"/>
      <c r="F39" s="2876" t="n"/>
      <c r="G39" s="2876" t="n"/>
      <c r="H39" s="2876" t="n"/>
      <c r="I39" s="2876" t="n"/>
      <c r="J39" s="2876" t="n"/>
      <c r="K39" s="2876" t="n"/>
      <c r="L39" s="2876" t="n"/>
      <c r="M39" s="2877" t="n"/>
      <c r="N39" s="2878" t="n"/>
      <c r="O39" s="2876" t="n"/>
      <c r="P39" s="2876" t="n"/>
      <c r="Q39" s="2876" t="n"/>
      <c r="R39" s="2876" t="n"/>
      <c r="S39" s="2876" t="n"/>
      <c r="T39" s="2876" t="n"/>
      <c r="U39" s="2876" t="n"/>
      <c r="W39" s="2862">
        <f>SUM(C39:H39)</f>
        <v/>
      </c>
      <c r="X39" s="2862">
        <f>SUM(I39:J39)</f>
        <v/>
      </c>
    </row>
    <row r="40" ht="13.5" customHeight="1" s="2828" thickBot="1">
      <c r="A40" s="972" t="inlineStr">
        <is>
          <t xml:space="preserve">I.H. Properties </t>
        </is>
      </c>
      <c r="B40" s="2863">
        <f>SUM(B41:B42)</f>
        <v/>
      </c>
      <c r="C40" s="2863">
        <f>SUM(C41:C42)</f>
        <v/>
      </c>
      <c r="D40" s="2863">
        <f>SUM(D41:D42)</f>
        <v/>
      </c>
      <c r="E40" s="2863">
        <f>SUM(E41:E42)</f>
        <v/>
      </c>
      <c r="F40" s="2863">
        <f>SUM(F41:F42)</f>
        <v/>
      </c>
      <c r="G40" s="2863">
        <f>SUM(G41:G42)</f>
        <v/>
      </c>
      <c r="H40" s="2863">
        <f>SUM(H41:H42)</f>
        <v/>
      </c>
      <c r="I40" s="2863">
        <f>SUM(I41:I42)</f>
        <v/>
      </c>
      <c r="J40" s="2863">
        <f>SUM(J41:J42)</f>
        <v/>
      </c>
      <c r="K40" s="2863">
        <f>SUM(K41:K42)</f>
        <v/>
      </c>
      <c r="L40" s="2863">
        <f>SUM(L41:L42)</f>
        <v/>
      </c>
      <c r="M40" s="2859" t="n"/>
      <c r="N40" s="2862">
        <f>SUM(N41:N42)</f>
        <v/>
      </c>
      <c r="O40" s="2876" t="n"/>
      <c r="P40" s="2863">
        <f>SUM(P41:P42)</f>
        <v/>
      </c>
      <c r="Q40" s="2876" t="n"/>
      <c r="R40" s="2863">
        <f>SUM(R41:R42)</f>
        <v/>
      </c>
      <c r="S40" s="2876" t="n"/>
      <c r="T40" s="2863">
        <f>SUM(T41:T42)</f>
        <v/>
      </c>
      <c r="U40" s="2876" t="n"/>
      <c r="W40" s="2862">
        <f>SUM(C40:H40)</f>
        <v/>
      </c>
      <c r="X40" s="2862">
        <f>SUM(I40:J40)</f>
        <v/>
      </c>
    </row>
    <row r="41" ht="13.5" customHeight="1" s="2828" thickBot="1">
      <c r="A41" s="974" t="inlineStr">
        <is>
          <t>I.H1. Investment properties</t>
        </is>
      </c>
      <c r="B41" s="2867">
        <f>SUM(C41:L41)</f>
        <v/>
      </c>
      <c r="C41" s="2864" t="n"/>
      <c r="D41" s="2864" t="n"/>
      <c r="E41" s="2864" t="n"/>
      <c r="F41" s="2864" t="n"/>
      <c r="G41" s="2864" t="n"/>
      <c r="H41" s="2864" t="n"/>
      <c r="I41" s="2864" t="n"/>
      <c r="J41" s="2864" t="n"/>
      <c r="K41" s="2864" t="n"/>
      <c r="L41" s="2864" t="n"/>
      <c r="M41" s="2868" t="n"/>
      <c r="N41" s="2869" t="n"/>
      <c r="O41" s="2870" t="n"/>
      <c r="P41" s="2864" t="n"/>
      <c r="Q41" s="2870" t="n"/>
      <c r="R41" s="2864" t="n"/>
      <c r="S41" s="2870" t="n"/>
      <c r="T41" s="2864" t="n"/>
      <c r="U41" s="2870" t="n"/>
      <c r="W41" s="2862">
        <f>SUM(C41:H41)</f>
        <v/>
      </c>
      <c r="X41" s="2862">
        <f>SUM(I41:J41)</f>
        <v/>
      </c>
    </row>
    <row r="42" ht="13.5" customHeight="1" s="2828" thickBot="1">
      <c r="A42" s="974" t="inlineStr">
        <is>
          <t>I.H2. Own-occupied properties</t>
        </is>
      </c>
      <c r="B42" s="2867">
        <f>SUM(C42:L42)</f>
        <v/>
      </c>
      <c r="C42" s="2864" t="n"/>
      <c r="D42" s="2864" t="n"/>
      <c r="E42" s="2864" t="n"/>
      <c r="F42" s="2864" t="n"/>
      <c r="G42" s="2864" t="n"/>
      <c r="H42" s="2864" t="n"/>
      <c r="I42" s="2864" t="n"/>
      <c r="J42" s="2864" t="n"/>
      <c r="K42" s="2864" t="n"/>
      <c r="L42" s="2864" t="n"/>
      <c r="M42" s="2868" t="n"/>
      <c r="N42" s="2869" t="n"/>
      <c r="O42" s="2870" t="n"/>
      <c r="P42" s="2864" t="n"/>
      <c r="Q42" s="2870" t="n"/>
      <c r="R42" s="2864" t="n"/>
      <c r="S42" s="2870" t="n"/>
      <c r="T42" s="2864" t="n"/>
      <c r="U42" s="2870" t="n"/>
      <c r="W42" s="2862">
        <f>SUM(C42:H42)</f>
        <v/>
      </c>
      <c r="X42" s="2862">
        <f>SUM(I42:J42)</f>
        <v/>
      </c>
    </row>
    <row r="43" ht="39" customHeight="1" s="2828" thickBot="1">
      <c r="A43" s="972" t="inlineStr">
        <is>
          <t>I.I. Policyholder account assets in respect of unit-linked products / account value for retirement scheme</t>
        </is>
      </c>
      <c r="B43" s="2867">
        <f>SUM(C43:L43)</f>
        <v/>
      </c>
      <c r="C43" s="2876" t="n"/>
      <c r="D43" s="2876" t="n"/>
      <c r="E43" s="2876" t="n"/>
      <c r="F43" s="2858" t="n"/>
      <c r="G43" s="2858" t="n"/>
      <c r="H43" s="2858" t="n"/>
      <c r="I43" s="2858" t="n"/>
      <c r="J43" s="2858" t="n"/>
      <c r="K43" s="2858" t="n"/>
      <c r="L43" s="2858" t="n"/>
      <c r="M43" s="2859" t="n"/>
      <c r="N43" s="2878" t="n"/>
      <c r="O43" s="2876" t="n"/>
      <c r="P43" s="2876" t="n"/>
      <c r="Q43" s="2876" t="n"/>
      <c r="R43" s="2876" t="n"/>
      <c r="S43" s="2876" t="n"/>
      <c r="T43" s="2876" t="n"/>
      <c r="U43" s="2876" t="n"/>
      <c r="W43" s="2862">
        <f>SUM(C43:H43)</f>
        <v/>
      </c>
      <c r="X43" s="2879" t="n"/>
    </row>
    <row r="44" ht="13.5" customHeight="1" s="2828" thickBot="1">
      <c r="A44" s="972" t="inlineStr">
        <is>
          <t>I.J. Loans and advances</t>
        </is>
      </c>
      <c r="B44" s="2863" t="n">
        <v>1150</v>
      </c>
      <c r="C44" s="2863">
        <f>SUM(C45:C46)</f>
        <v/>
      </c>
      <c r="D44" s="2863">
        <f>SUM(D45:D46)</f>
        <v/>
      </c>
      <c r="E44" s="2863">
        <f>SUM(E45:E46)</f>
        <v/>
      </c>
      <c r="F44" s="2863">
        <f>SUM(F45:F46)</f>
        <v/>
      </c>
      <c r="G44" s="2863">
        <f>SUM(G45:G46)</f>
        <v/>
      </c>
      <c r="H44" s="2863">
        <f>SUM(H45:H46)</f>
        <v/>
      </c>
      <c r="I44" s="2863">
        <f>SUM(I45:I46)</f>
        <v/>
      </c>
      <c r="J44" s="2863">
        <f>SUM(J45:J46)</f>
        <v/>
      </c>
      <c r="K44" s="2863">
        <f>SUM(K45:K46)</f>
        <v/>
      </c>
      <c r="L44" s="2863">
        <f>SUM(L45:L46)</f>
        <v/>
      </c>
      <c r="M44" s="2859" t="n"/>
      <c r="N44" s="2862">
        <f>SUM(N45:N46)</f>
        <v/>
      </c>
      <c r="O44" s="2876" t="n"/>
      <c r="P44" s="2863">
        <f>SUM(P45:P46)</f>
        <v/>
      </c>
      <c r="Q44" s="2876" t="n"/>
      <c r="R44" s="2863">
        <f>SUM(R45:R46)</f>
        <v/>
      </c>
      <c r="S44" s="2876" t="n"/>
      <c r="T44" s="2863">
        <f>SUM(T45:T46)</f>
        <v/>
      </c>
      <c r="U44" s="2876" t="n"/>
      <c r="W44" s="2862">
        <f>SUM(C44:H44)</f>
        <v/>
      </c>
      <c r="X44" s="2862">
        <f>SUM(I44:J44)</f>
        <v/>
      </c>
    </row>
    <row r="45" ht="13.5" customHeight="1" s="2828" thickBot="1">
      <c r="A45" s="974" t="inlineStr">
        <is>
          <t>I.J1. Policy loans</t>
        </is>
      </c>
      <c r="B45" s="2867">
        <f>SUM(C45:L45)</f>
        <v/>
      </c>
      <c r="C45" s="2864" t="n"/>
      <c r="D45" s="2864" t="n"/>
      <c r="E45" s="2864" t="n"/>
      <c r="F45" s="2864" t="n"/>
      <c r="G45" s="2864" t="n"/>
      <c r="H45" s="2864" t="n"/>
      <c r="I45" s="2864" t="n"/>
      <c r="J45" s="2864" t="n"/>
      <c r="K45" s="2864" t="n"/>
      <c r="L45" s="2864" t="n"/>
      <c r="M45" s="2868" t="n"/>
      <c r="N45" s="2869" t="n"/>
      <c r="O45" s="2870" t="n"/>
      <c r="P45" s="2864" t="n"/>
      <c r="Q45" s="2870" t="n"/>
      <c r="R45" s="2864" t="n"/>
      <c r="S45" s="2870" t="n"/>
      <c r="T45" s="2864" t="n"/>
      <c r="U45" s="2870" t="n"/>
      <c r="W45" s="2862">
        <f>SUM(C45:H45)</f>
        <v/>
      </c>
      <c r="X45" s="2862">
        <f>SUM(I45:J45)</f>
        <v/>
      </c>
    </row>
    <row r="46" ht="13.5" customHeight="1" s="2828" thickBot="1">
      <c r="A46" s="974" t="inlineStr">
        <is>
          <t>I.J2. Loans and advances other than policy loans</t>
        </is>
      </c>
      <c r="B46" s="2867">
        <f>SUM(C46:L46)</f>
        <v/>
      </c>
      <c r="C46" s="2864" t="n"/>
      <c r="D46" s="2864" t="n"/>
      <c r="E46" s="2864" t="n"/>
      <c r="F46" s="2864" t="n"/>
      <c r="G46" s="2864" t="n"/>
      <c r="H46" s="2864" t="n"/>
      <c r="I46" s="2864" t="n"/>
      <c r="J46" s="2864" t="n"/>
      <c r="K46" s="2864" t="n"/>
      <c r="L46" s="2864" t="n"/>
      <c r="M46" s="2868" t="n"/>
      <c r="N46" s="2869" t="n"/>
      <c r="O46" s="2870" t="n"/>
      <c r="P46" s="2864" t="n"/>
      <c r="Q46" s="2870" t="n"/>
      <c r="R46" s="2864" t="n"/>
      <c r="S46" s="2870" t="n"/>
      <c r="T46" s="2864" t="n"/>
      <c r="U46" s="2870" t="n"/>
      <c r="W46" s="2862">
        <f>SUM(C46:H46)</f>
        <v/>
      </c>
      <c r="X46" s="2862">
        <f>SUM(I46:J46)</f>
        <v/>
      </c>
    </row>
    <row r="47" ht="13.5" customHeight="1" s="2828" thickBot="1">
      <c r="A47" s="2267" t="inlineStr">
        <is>
          <t>I.K. Reverse repurchase agreements</t>
        </is>
      </c>
      <c r="B47" s="2867">
        <f>SUM(C47:L47)</f>
        <v/>
      </c>
      <c r="C47" s="2876" t="n"/>
      <c r="D47" s="2876" t="n"/>
      <c r="E47" s="2876" t="n"/>
      <c r="F47" s="2876" t="n"/>
      <c r="G47" s="2876" t="n"/>
      <c r="H47" s="2876" t="n"/>
      <c r="I47" s="2876" t="n"/>
      <c r="J47" s="2876" t="n"/>
      <c r="K47" s="2876" t="n"/>
      <c r="L47" s="2876" t="n"/>
      <c r="M47" s="2877" t="n"/>
      <c r="N47" s="2878" t="n"/>
      <c r="O47" s="2876" t="n"/>
      <c r="P47" s="2876" t="n"/>
      <c r="Q47" s="2876" t="n"/>
      <c r="R47" s="2876" t="n"/>
      <c r="S47" s="2876" t="n"/>
      <c r="T47" s="2876" t="n"/>
      <c r="U47" s="2876" t="n"/>
      <c r="W47" s="2862">
        <f>SUM(C47:H47)</f>
        <v/>
      </c>
      <c r="X47" s="2862">
        <f>SUM(I47:J47)</f>
        <v/>
      </c>
    </row>
    <row r="48" ht="13.5" customHeight="1" s="2828" thickBot="1">
      <c r="A48" s="2267" t="inlineStr">
        <is>
          <t>I.L Subsidiaries</t>
        </is>
      </c>
      <c r="B48" s="2863">
        <f>SUM(B49:B50)</f>
        <v/>
      </c>
      <c r="C48" s="2863">
        <f>SUM(C49:C50)</f>
        <v/>
      </c>
      <c r="D48" s="2863">
        <f>SUM(D49:D50)</f>
        <v/>
      </c>
      <c r="E48" s="2863">
        <f>SUM(E49:E50)</f>
        <v/>
      </c>
      <c r="F48" s="2863">
        <f>SUM(F49:F50)</f>
        <v/>
      </c>
      <c r="G48" s="2863">
        <f>SUM(G49:G50)</f>
        <v/>
      </c>
      <c r="H48" s="2863">
        <f>SUM(H49:H50)</f>
        <v/>
      </c>
      <c r="I48" s="2863">
        <f>SUM(I49:I50)</f>
        <v/>
      </c>
      <c r="J48" s="2863">
        <f>SUM(J49:J50)</f>
        <v/>
      </c>
      <c r="K48" s="2863">
        <f>SUM(K49:K50)</f>
        <v/>
      </c>
      <c r="L48" s="2863">
        <f>SUM(L49:L50)</f>
        <v/>
      </c>
      <c r="M48" s="2859" t="n"/>
      <c r="N48" s="2862">
        <f>SUM(N49:N50)</f>
        <v/>
      </c>
      <c r="O48" s="2876" t="n"/>
      <c r="P48" s="2863">
        <f>SUM(P49:P50)</f>
        <v/>
      </c>
      <c r="Q48" s="2876" t="n"/>
      <c r="R48" s="2863">
        <f>SUM(R49:R50)</f>
        <v/>
      </c>
      <c r="S48" s="2876" t="n"/>
      <c r="T48" s="2863">
        <f>SUM(T49:T50)</f>
        <v/>
      </c>
      <c r="U48" s="2876" t="n"/>
      <c r="W48" s="2862">
        <f>SUM(C48:H48)</f>
        <v/>
      </c>
      <c r="X48" s="2862">
        <f>SUM(I48:J48)</f>
        <v/>
      </c>
    </row>
    <row r="49" ht="20.25" customHeight="1" s="2828" thickBot="1">
      <c r="A49" s="980" t="inlineStr">
        <is>
          <t>I.L1. Of which: amounts due from</t>
        </is>
      </c>
      <c r="B49" s="2867">
        <f>SUM(C49:L49)</f>
        <v/>
      </c>
      <c r="C49" s="2864" t="n"/>
      <c r="D49" s="2864" t="n"/>
      <c r="E49" s="2864" t="n"/>
      <c r="F49" s="2864" t="n"/>
      <c r="G49" s="2864" t="n"/>
      <c r="H49" s="2864" t="n"/>
      <c r="I49" s="2864" t="n"/>
      <c r="J49" s="2864" t="n"/>
      <c r="K49" s="2864" t="n"/>
      <c r="L49" s="2864" t="n"/>
      <c r="M49" s="2868" t="n"/>
      <c r="N49" s="2869" t="n"/>
      <c r="O49" s="2870" t="n"/>
      <c r="P49" s="2864" t="n"/>
      <c r="Q49" s="2870" t="n"/>
      <c r="R49" s="2864" t="n"/>
      <c r="S49" s="2870" t="n"/>
      <c r="T49" s="2864" t="n"/>
      <c r="U49" s="2870" t="n"/>
      <c r="W49" s="2862">
        <f>SUM(C49:H49)</f>
        <v/>
      </c>
      <c r="X49" s="2862">
        <f>SUM(I49:J49)</f>
        <v/>
      </c>
    </row>
    <row r="50" ht="20.25" customHeight="1" s="2828" thickBot="1">
      <c r="A50" s="980" t="inlineStr">
        <is>
          <t>I.L2. Of which: investment in</t>
        </is>
      </c>
      <c r="B50" s="2867">
        <f>SUM(C50:L50)</f>
        <v/>
      </c>
      <c r="C50" s="2864" t="n"/>
      <c r="D50" s="2864" t="n"/>
      <c r="E50" s="2864" t="n"/>
      <c r="F50" s="2864" t="n"/>
      <c r="G50" s="2864" t="n"/>
      <c r="H50" s="2864" t="n"/>
      <c r="I50" s="2864" t="n"/>
      <c r="J50" s="2864" t="n"/>
      <c r="K50" s="2864" t="n"/>
      <c r="L50" s="2864" t="n"/>
      <c r="M50" s="2868" t="n"/>
      <c r="N50" s="2869" t="n"/>
      <c r="O50" s="2870" t="n"/>
      <c r="P50" s="2864" t="n"/>
      <c r="Q50" s="2870" t="n"/>
      <c r="R50" s="2864" t="n"/>
      <c r="S50" s="2870" t="n"/>
      <c r="T50" s="2864" t="n"/>
      <c r="U50" s="2870" t="n"/>
      <c r="W50" s="2862">
        <f>SUM(C50:H50)</f>
        <v/>
      </c>
      <c r="X50" s="2862">
        <f>SUM(I50:J50)</f>
        <v/>
      </c>
    </row>
    <row r="51" ht="13.5" customHeight="1" s="2828" thickBot="1">
      <c r="A51" s="2267" t="inlineStr">
        <is>
          <t>I.M Affiliates / associates</t>
        </is>
      </c>
      <c r="B51" s="2863">
        <f>SUM(B52:B53)</f>
        <v/>
      </c>
      <c r="C51" s="2863">
        <f>SUM(C52:C53)</f>
        <v/>
      </c>
      <c r="D51" s="2863">
        <f>SUM(D52:D53)</f>
        <v/>
      </c>
      <c r="E51" s="2863">
        <f>SUM(E52:E53)</f>
        <v/>
      </c>
      <c r="F51" s="2863">
        <f>SUM(F52:F53)</f>
        <v/>
      </c>
      <c r="G51" s="2863">
        <f>SUM(G52:G53)</f>
        <v/>
      </c>
      <c r="H51" s="2863">
        <f>SUM(H52:H53)</f>
        <v/>
      </c>
      <c r="I51" s="2863">
        <f>SUM(I52:I53)</f>
        <v/>
      </c>
      <c r="J51" s="2863">
        <f>SUM(J52:J53)</f>
        <v/>
      </c>
      <c r="K51" s="2863">
        <f>SUM(K52:K53)</f>
        <v/>
      </c>
      <c r="L51" s="2863">
        <f>SUM(L52:L53)</f>
        <v/>
      </c>
      <c r="M51" s="2859" t="n"/>
      <c r="N51" s="2862">
        <f>SUM(N52:N53)</f>
        <v/>
      </c>
      <c r="O51" s="2876" t="n"/>
      <c r="P51" s="2863">
        <f>SUM(P52:P53)</f>
        <v/>
      </c>
      <c r="Q51" s="2876" t="n"/>
      <c r="R51" s="2863">
        <f>SUM(R52:R53)</f>
        <v/>
      </c>
      <c r="S51" s="2876" t="n"/>
      <c r="T51" s="2863">
        <f>SUM(T52:T53)</f>
        <v/>
      </c>
      <c r="U51" s="2876" t="n"/>
      <c r="W51" s="2862">
        <f>SUM(C51:H51)</f>
        <v/>
      </c>
      <c r="X51" s="2862">
        <f>SUM(I51:J51)</f>
        <v/>
      </c>
    </row>
    <row r="52" ht="13.5" customHeight="1" s="2828" thickBot="1">
      <c r="A52" s="980" t="inlineStr">
        <is>
          <t>I.M1. Of which: amounts due from</t>
        </is>
      </c>
      <c r="B52" s="2867">
        <f>SUM(C52:L52)</f>
        <v/>
      </c>
      <c r="C52" s="2864" t="n"/>
      <c r="D52" s="2864" t="n"/>
      <c r="E52" s="2864" t="n"/>
      <c r="F52" s="2864" t="n"/>
      <c r="G52" s="2864" t="n"/>
      <c r="H52" s="2864" t="n"/>
      <c r="I52" s="2864" t="n"/>
      <c r="J52" s="2864" t="n"/>
      <c r="K52" s="2864" t="n"/>
      <c r="L52" s="2864" t="n"/>
      <c r="M52" s="2868" t="n"/>
      <c r="N52" s="2869" t="n"/>
      <c r="O52" s="2870" t="n"/>
      <c r="P52" s="2864" t="n"/>
      <c r="Q52" s="2870" t="n"/>
      <c r="R52" s="2864" t="n"/>
      <c r="S52" s="2870" t="n"/>
      <c r="T52" s="2864" t="n"/>
      <c r="U52" s="2870" t="n"/>
      <c r="W52" s="2862">
        <f>SUM(C52:H52)</f>
        <v/>
      </c>
      <c r="X52" s="2862">
        <f>SUM(I52:J52)</f>
        <v/>
      </c>
    </row>
    <row r="53" ht="13.5" customHeight="1" s="2828" thickBot="1">
      <c r="A53" s="980" t="inlineStr">
        <is>
          <t>I.M2. Of which: investment in</t>
        </is>
      </c>
      <c r="B53" s="2867">
        <f>SUM(C53:L53)</f>
        <v/>
      </c>
      <c r="C53" s="2864" t="n"/>
      <c r="D53" s="2864" t="n"/>
      <c r="E53" s="2864" t="n"/>
      <c r="F53" s="2864" t="n"/>
      <c r="G53" s="2864" t="n"/>
      <c r="H53" s="2864" t="n"/>
      <c r="I53" s="2864" t="n"/>
      <c r="J53" s="2864" t="n"/>
      <c r="K53" s="2864" t="n"/>
      <c r="L53" s="2864" t="n"/>
      <c r="M53" s="2868" t="n"/>
      <c r="N53" s="2869" t="n"/>
      <c r="O53" s="2870" t="n"/>
      <c r="P53" s="2864" t="n"/>
      <c r="Q53" s="2870" t="n"/>
      <c r="R53" s="2864" t="n"/>
      <c r="S53" s="2870" t="n"/>
      <c r="T53" s="2864" t="n"/>
      <c r="U53" s="2870" t="n"/>
      <c r="W53" s="2862">
        <f>SUM(C53:H53)</f>
        <v/>
      </c>
      <c r="X53" s="2862">
        <f>SUM(I53:J53)</f>
        <v/>
      </c>
    </row>
    <row r="54" ht="13.5" customHeight="1" s="2828" thickBot="1">
      <c r="A54" s="2267" t="inlineStr">
        <is>
          <t>I.N Fellow subsidiaries</t>
        </is>
      </c>
      <c r="B54" s="2863">
        <f>SUM(B55:B56)</f>
        <v/>
      </c>
      <c r="C54" s="2863">
        <f>SUM(C55:C56)</f>
        <v/>
      </c>
      <c r="D54" s="2863">
        <f>SUM(D55:D56)</f>
        <v/>
      </c>
      <c r="E54" s="2863">
        <f>SUM(E55:E56)</f>
        <v/>
      </c>
      <c r="F54" s="2863">
        <f>SUM(F55:F56)</f>
        <v/>
      </c>
      <c r="G54" s="2863">
        <f>SUM(G55:G56)</f>
        <v/>
      </c>
      <c r="H54" s="2863">
        <f>SUM(H55:H56)</f>
        <v/>
      </c>
      <c r="I54" s="2863">
        <f>SUM(I55:I56)</f>
        <v/>
      </c>
      <c r="J54" s="2863">
        <f>SUM(J55:J56)</f>
        <v/>
      </c>
      <c r="K54" s="2863">
        <f>SUM(K55:K56)</f>
        <v/>
      </c>
      <c r="L54" s="2863">
        <f>SUM(L55:L56)</f>
        <v/>
      </c>
      <c r="M54" s="2859" t="n"/>
      <c r="N54" s="2862">
        <f>SUM(N55:N56)</f>
        <v/>
      </c>
      <c r="O54" s="2876" t="n"/>
      <c r="P54" s="2863">
        <f>SUM(P55:P56)</f>
        <v/>
      </c>
      <c r="Q54" s="2876" t="n"/>
      <c r="R54" s="2863">
        <f>SUM(R55:R56)</f>
        <v/>
      </c>
      <c r="S54" s="2876" t="n"/>
      <c r="T54" s="2863">
        <f>SUM(T55:T56)</f>
        <v/>
      </c>
      <c r="U54" s="2876" t="n"/>
      <c r="W54" s="2862">
        <f>SUM(C54:H54)</f>
        <v/>
      </c>
      <c r="X54" s="2862">
        <f>SUM(I54:J54)</f>
        <v/>
      </c>
    </row>
    <row r="55" ht="13.5" customHeight="1" s="2828" thickBot="1">
      <c r="A55" s="980" t="inlineStr">
        <is>
          <t>I.N1. Of which: amounts due from</t>
        </is>
      </c>
      <c r="B55" s="2867">
        <f>SUM(C55:L55)</f>
        <v/>
      </c>
      <c r="C55" s="2864" t="n"/>
      <c r="D55" s="2864" t="n"/>
      <c r="E55" s="2864" t="n"/>
      <c r="F55" s="2864" t="n"/>
      <c r="G55" s="2864" t="n"/>
      <c r="H55" s="2864" t="n"/>
      <c r="I55" s="2864" t="n"/>
      <c r="J55" s="2864" t="n"/>
      <c r="K55" s="2864" t="n"/>
      <c r="L55" s="2864" t="n"/>
      <c r="M55" s="2868" t="n"/>
      <c r="N55" s="2869" t="n"/>
      <c r="O55" s="2870" t="n"/>
      <c r="P55" s="2864" t="n"/>
      <c r="Q55" s="2870" t="n"/>
      <c r="R55" s="2864" t="n"/>
      <c r="S55" s="2870" t="n"/>
      <c r="T55" s="2864" t="n"/>
      <c r="U55" s="2870" t="n"/>
      <c r="W55" s="2862">
        <f>SUM(C55:H55)</f>
        <v/>
      </c>
      <c r="X55" s="2862">
        <f>SUM(I55:J55)</f>
        <v/>
      </c>
    </row>
    <row r="56" ht="13.5" customHeight="1" s="2828" thickBot="1">
      <c r="A56" s="980" t="inlineStr">
        <is>
          <t>I.N2. Of which: investment in</t>
        </is>
      </c>
      <c r="B56" s="2867">
        <f>SUM(C56:L56)</f>
        <v/>
      </c>
      <c r="C56" s="2864" t="n"/>
      <c r="D56" s="2864" t="n"/>
      <c r="E56" s="2864" t="n"/>
      <c r="F56" s="2864" t="n"/>
      <c r="G56" s="2864" t="n"/>
      <c r="H56" s="2864" t="n"/>
      <c r="I56" s="2864" t="n"/>
      <c r="J56" s="2864" t="n"/>
      <c r="K56" s="2864" t="n"/>
      <c r="L56" s="2864" t="n"/>
      <c r="M56" s="2868" t="n"/>
      <c r="N56" s="2869" t="n"/>
      <c r="O56" s="2870" t="n"/>
      <c r="P56" s="2864" t="n"/>
      <c r="Q56" s="2870" t="n"/>
      <c r="R56" s="2864" t="n"/>
      <c r="S56" s="2870" t="n"/>
      <c r="T56" s="2864" t="n"/>
      <c r="U56" s="2870" t="n"/>
      <c r="W56" s="2862">
        <f>SUM(C56:H56)</f>
        <v/>
      </c>
      <c r="X56" s="2862">
        <f>SUM(I56:J56)</f>
        <v/>
      </c>
    </row>
    <row r="57" ht="13.5" customHeight="1" s="2828" thickBot="1">
      <c r="A57" s="2267" t="inlineStr">
        <is>
          <t>I.O Amount due from holding company</t>
        </is>
      </c>
      <c r="B57" s="2867">
        <f>SUM(C57:L57)</f>
        <v/>
      </c>
      <c r="C57" s="2871" t="n"/>
      <c r="D57" s="2871" t="n"/>
      <c r="E57" s="2871" t="n"/>
      <c r="F57" s="2871" t="n"/>
      <c r="G57" s="2871" t="n"/>
      <c r="H57" s="2871" t="n"/>
      <c r="I57" s="2871" t="n"/>
      <c r="J57" s="2871" t="n"/>
      <c r="K57" s="2871" t="n"/>
      <c r="L57" s="2871" t="n"/>
      <c r="M57" s="2868" t="n"/>
      <c r="N57" s="2872" t="n"/>
      <c r="O57" s="2876" t="n"/>
      <c r="P57" s="2871" t="n"/>
      <c r="Q57" s="2876" t="n"/>
      <c r="R57" s="2871" t="n"/>
      <c r="S57" s="2876" t="n"/>
      <c r="T57" s="2871" t="n"/>
      <c r="U57" s="2876" t="n"/>
      <c r="W57" s="2862">
        <f>SUM(C57:H57)</f>
        <v/>
      </c>
      <c r="X57" s="2862">
        <f>SUM(I57:J57)</f>
        <v/>
      </c>
    </row>
    <row r="58" ht="13.5" customHeight="1" s="2828" thickBot="1">
      <c r="A58" s="2267" t="inlineStr">
        <is>
          <t xml:space="preserve">I.OA Amount due from Head Office </t>
        </is>
      </c>
      <c r="B58" s="2867">
        <f>SUM(C58:L58)</f>
        <v/>
      </c>
      <c r="C58" s="2864" t="n"/>
      <c r="D58" s="2864" t="n"/>
      <c r="E58" s="2864" t="n"/>
      <c r="F58" s="2864" t="n"/>
      <c r="G58" s="2864" t="n"/>
      <c r="H58" s="2864" t="n"/>
      <c r="I58" s="2864" t="n"/>
      <c r="J58" s="2864" t="n"/>
      <c r="K58" s="2864" t="n"/>
      <c r="L58" s="2864" t="n"/>
      <c r="M58" s="2868" t="n"/>
      <c r="N58" s="2869" t="n"/>
      <c r="O58" s="2870" t="n"/>
      <c r="P58" s="2864" t="n"/>
      <c r="Q58" s="2870" t="n"/>
      <c r="R58" s="2864" t="n"/>
      <c r="S58" s="2870" t="n"/>
      <c r="T58" s="2864" t="n"/>
      <c r="U58" s="2870" t="n"/>
      <c r="W58" s="2862">
        <f>SUM(C58:H58)</f>
        <v/>
      </c>
      <c r="X58" s="2862">
        <f>SUM(I58:J58)</f>
        <v/>
      </c>
    </row>
    <row r="59" ht="13.5" customFormat="1" customHeight="1" s="64" thickBot="1">
      <c r="A59" s="2267" t="inlineStr">
        <is>
          <t>I.P. Reinsurance assets</t>
        </is>
      </c>
      <c r="B59" s="2867" t="n">
        <v>10650</v>
      </c>
      <c r="C59" s="2876" t="n"/>
      <c r="D59" s="2876" t="n"/>
      <c r="E59" s="2876" t="n"/>
      <c r="F59" s="2876" t="n"/>
      <c r="G59" s="2876" t="n"/>
      <c r="H59" s="2876" t="n"/>
      <c r="I59" s="2876" t="n"/>
      <c r="J59" s="2876" t="n"/>
      <c r="K59" s="2858" t="n"/>
      <c r="L59" s="2858" t="n"/>
      <c r="M59" s="2859" t="n"/>
      <c r="N59" s="2878" t="n"/>
      <c r="O59" s="2876" t="n"/>
      <c r="P59" s="2876" t="n"/>
      <c r="Q59" s="2876" t="n"/>
      <c r="R59" s="2876" t="n"/>
      <c r="S59" s="2876" t="n"/>
      <c r="T59" s="2876" t="n"/>
      <c r="U59" s="2876" t="n"/>
      <c r="V59" s="43" t="n"/>
      <c r="W59" s="2862">
        <f>SUM(C59:H59)</f>
        <v/>
      </c>
      <c r="X59" s="2862">
        <f>SUM(I59:J59)</f>
        <v/>
      </c>
    </row>
    <row r="60" ht="13.5" customHeight="1" s="2828" thickBot="1">
      <c r="A60" s="2267" t="inlineStr">
        <is>
          <t>I.Q. Non-investment assets</t>
        </is>
      </c>
      <c r="B60" s="2863" t="n">
        <v>980</v>
      </c>
      <c r="C60" s="2863">
        <f>SUM(C61,C65:C72)</f>
        <v/>
      </c>
      <c r="D60" s="2863">
        <f>SUM(D61,D65:D72)</f>
        <v/>
      </c>
      <c r="E60" s="2863">
        <f>SUM(E61,E65:E72)</f>
        <v/>
      </c>
      <c r="F60" s="2863">
        <f>SUM(F61,F65:F72)</f>
        <v/>
      </c>
      <c r="G60" s="2863">
        <f>SUM(G61,G65:G72)</f>
        <v/>
      </c>
      <c r="H60" s="2863">
        <f>SUM(H61,H65:H72)</f>
        <v/>
      </c>
      <c r="I60" s="2863">
        <f>SUM(I61,I65:I72)</f>
        <v/>
      </c>
      <c r="J60" s="2863">
        <f>SUM(J61,J65:J72)</f>
        <v/>
      </c>
      <c r="K60" s="2863">
        <f>SUM(K61,K65:K72)</f>
        <v/>
      </c>
      <c r="L60" s="2863">
        <f>SUM(L61,L65:L72)</f>
        <v/>
      </c>
      <c r="M60" s="2859" t="n"/>
      <c r="N60" s="2862">
        <f>SUM(N61,N65:N72)</f>
        <v/>
      </c>
      <c r="O60" s="2876" t="n"/>
      <c r="P60" s="2863">
        <f>SUM(P61,P65:P72)</f>
        <v/>
      </c>
      <c r="Q60" s="2876" t="n"/>
      <c r="R60" s="2863">
        <f>SUM(R61,R65:R72)</f>
        <v/>
      </c>
      <c r="S60" s="2876" t="n"/>
      <c r="T60" s="2863">
        <f>SUM(T61,T65:T72)</f>
        <v/>
      </c>
      <c r="U60" s="2876" t="n"/>
      <c r="W60" s="2862">
        <f>SUM(C60:H60)</f>
        <v/>
      </c>
      <c r="X60" s="2862">
        <f>SUM(I60:J60)</f>
        <v/>
      </c>
    </row>
    <row r="61" ht="13.5" customHeight="1" s="2828" thickBot="1">
      <c r="A61" s="981" t="inlineStr">
        <is>
          <t xml:space="preserve">  I.Q1. Receivables arising from insurance operations</t>
        </is>
      </c>
      <c r="B61" s="2863" t="n">
        <v>650</v>
      </c>
      <c r="C61" s="2863">
        <f>SUM(C62:C64)</f>
        <v/>
      </c>
      <c r="D61" s="2863">
        <f>SUM(D62:D64)</f>
        <v/>
      </c>
      <c r="E61" s="2863">
        <f>SUM(E62:E64)</f>
        <v/>
      </c>
      <c r="F61" s="2863">
        <f>SUM(F62:F64)</f>
        <v/>
      </c>
      <c r="G61" s="2863">
        <f>SUM(G62:G64)</f>
        <v/>
      </c>
      <c r="H61" s="2863">
        <f>SUM(H62:H64)</f>
        <v/>
      </c>
      <c r="I61" s="2863">
        <f>SUM(I62:I64)</f>
        <v/>
      </c>
      <c r="J61" s="2863">
        <f>SUM(J62:J64)</f>
        <v/>
      </c>
      <c r="K61" s="2870" t="n"/>
      <c r="L61" s="2870" t="n"/>
      <c r="M61" s="2868" t="n"/>
      <c r="N61" s="2862">
        <f>SUM(N62:N64)</f>
        <v/>
      </c>
      <c r="O61" s="2870" t="n"/>
      <c r="P61" s="2863">
        <f>SUM(P62:P64)</f>
        <v/>
      </c>
      <c r="Q61" s="2870" t="n"/>
      <c r="R61" s="2863">
        <f>SUM(R62:R64)</f>
        <v/>
      </c>
      <c r="S61" s="2870" t="n"/>
      <c r="T61" s="2863">
        <f>SUM(T62:T64)</f>
        <v/>
      </c>
      <c r="U61" s="2870" t="n"/>
      <c r="W61" s="2862">
        <f>SUM(C61:H61)</f>
        <v/>
      </c>
      <c r="X61" s="2862">
        <f>SUM(I61:J61)</f>
        <v/>
      </c>
    </row>
    <row r="62" ht="13.5" customHeight="1" s="2828" thickBot="1">
      <c r="A62" s="982" t="inlineStr">
        <is>
          <t>I.Q1a. policyholders</t>
        </is>
      </c>
      <c r="B62" s="2867" t="n">
        <v>220</v>
      </c>
      <c r="C62" s="2864" t="n"/>
      <c r="D62" s="2864" t="n"/>
      <c r="E62" s="2864" t="n"/>
      <c r="F62" s="2864" t="n"/>
      <c r="G62" s="2864" t="n"/>
      <c r="H62" s="2864" t="n"/>
      <c r="I62" s="2864" t="n"/>
      <c r="J62" s="2864" t="n"/>
      <c r="K62" s="2870" t="n"/>
      <c r="L62" s="2870" t="n"/>
      <c r="M62" s="2868" t="n"/>
      <c r="N62" s="2869" t="n"/>
      <c r="O62" s="2870" t="n"/>
      <c r="P62" s="2864" t="n"/>
      <c r="Q62" s="2870" t="n"/>
      <c r="R62" s="2864" t="n"/>
      <c r="S62" s="2870" t="n"/>
      <c r="T62" s="2864" t="n"/>
      <c r="U62" s="2870" t="n"/>
      <c r="W62" s="2862">
        <f>SUM(C62:H62)</f>
        <v/>
      </c>
      <c r="X62" s="2862">
        <f>SUM(I62:J62)</f>
        <v/>
      </c>
    </row>
    <row r="63" ht="13.5" customHeight="1" s="2828" thickBot="1">
      <c r="A63" s="982" t="inlineStr">
        <is>
          <t>I.Q1b. intermediaries</t>
        </is>
      </c>
      <c r="B63" s="2867" t="n">
        <v>180</v>
      </c>
      <c r="C63" s="2864" t="n"/>
      <c r="D63" s="2864" t="n"/>
      <c r="E63" s="2864" t="n"/>
      <c r="F63" s="2864" t="n"/>
      <c r="G63" s="2864" t="n"/>
      <c r="H63" s="2864" t="n"/>
      <c r="I63" s="2864" t="n"/>
      <c r="J63" s="2864" t="n"/>
      <c r="K63" s="2870" t="n"/>
      <c r="L63" s="2870" t="n"/>
      <c r="M63" s="2868" t="n"/>
      <c r="N63" s="2869" t="n"/>
      <c r="O63" s="2870" t="n"/>
      <c r="P63" s="2864" t="n"/>
      <c r="Q63" s="2870" t="n"/>
      <c r="R63" s="2864" t="n"/>
      <c r="S63" s="2870" t="n"/>
      <c r="T63" s="2864" t="n"/>
      <c r="U63" s="2870" t="n"/>
      <c r="W63" s="2862">
        <f>SUM(C63:H63)</f>
        <v/>
      </c>
      <c r="X63" s="2862">
        <f>SUM(I63:J63)</f>
        <v/>
      </c>
    </row>
    <row r="64" ht="13.5" customHeight="1" s="2828" thickBot="1">
      <c r="A64" s="982" t="inlineStr">
        <is>
          <t>I.Q1c. reinsurers</t>
        </is>
      </c>
      <c r="B64" s="2867" t="n">
        <v>250</v>
      </c>
      <c r="C64" s="2864" t="n"/>
      <c r="D64" s="2864" t="n"/>
      <c r="E64" s="2864" t="n"/>
      <c r="F64" s="2864" t="n"/>
      <c r="G64" s="2864" t="n"/>
      <c r="H64" s="2864" t="n"/>
      <c r="I64" s="2864" t="n"/>
      <c r="J64" s="2864" t="n"/>
      <c r="K64" s="2870" t="n"/>
      <c r="L64" s="2870" t="n"/>
      <c r="M64" s="2868" t="n"/>
      <c r="N64" s="2869" t="n"/>
      <c r="O64" s="2870" t="n"/>
      <c r="P64" s="2864" t="n"/>
      <c r="Q64" s="2870" t="n"/>
      <c r="R64" s="2864" t="n"/>
      <c r="S64" s="2870" t="n"/>
      <c r="T64" s="2864" t="n"/>
      <c r="U64" s="2870" t="n"/>
      <c r="W64" s="2862">
        <f>SUM(C64:H64)</f>
        <v/>
      </c>
      <c r="X64" s="2862">
        <f>SUM(I64:J64)</f>
        <v/>
      </c>
    </row>
    <row r="65" ht="13.5" customHeight="1" s="2828" thickBot="1">
      <c r="A65" s="980" t="inlineStr">
        <is>
          <t>I.Q2. Investment income receivable from financial assets</t>
        </is>
      </c>
      <c r="B65" s="2867">
        <f>SUM(C65:L65)</f>
        <v/>
      </c>
      <c r="C65" s="2864" t="n"/>
      <c r="D65" s="2864" t="n"/>
      <c r="E65" s="2864" t="n"/>
      <c r="F65" s="2864" t="n"/>
      <c r="G65" s="2864" t="n"/>
      <c r="H65" s="2864" t="n"/>
      <c r="I65" s="2864" t="n"/>
      <c r="J65" s="2864" t="n"/>
      <c r="K65" s="2864" t="n"/>
      <c r="L65" s="2864" t="n"/>
      <c r="M65" s="2868" t="n"/>
      <c r="N65" s="2869" t="n"/>
      <c r="O65" s="2870" t="n"/>
      <c r="P65" s="2864" t="n"/>
      <c r="Q65" s="2870" t="n"/>
      <c r="R65" s="2864" t="n"/>
      <c r="S65" s="2870" t="n"/>
      <c r="T65" s="2864" t="n"/>
      <c r="U65" s="2870" t="n"/>
      <c r="W65" s="2862">
        <f>SUM(C65:H65)</f>
        <v/>
      </c>
      <c r="X65" s="2862">
        <f>SUM(I65:J65)</f>
        <v/>
      </c>
    </row>
    <row r="66" ht="40.5" customHeight="1" s="2828" thickBot="1">
      <c r="A66" s="980" t="inlineStr">
        <is>
          <t>I.Q3. Other property, plant and equipment (excluding properties)</t>
        </is>
      </c>
      <c r="B66" s="2867" t="n">
        <v>200</v>
      </c>
      <c r="C66" s="2864" t="n"/>
      <c r="D66" s="2864" t="n"/>
      <c r="E66" s="2864" t="n"/>
      <c r="F66" s="2864" t="n"/>
      <c r="G66" s="2864" t="n"/>
      <c r="H66" s="2864" t="n"/>
      <c r="I66" s="2864" t="n"/>
      <c r="J66" s="2864" t="n"/>
      <c r="K66" s="2864" t="n"/>
      <c r="L66" s="2864" t="n"/>
      <c r="M66" s="2868" t="n"/>
      <c r="N66" s="2869" t="n"/>
      <c r="O66" s="2870" t="n"/>
      <c r="P66" s="2869" t="n"/>
      <c r="Q66" s="2870" t="n"/>
      <c r="R66" s="2869" t="n"/>
      <c r="S66" s="2870" t="n"/>
      <c r="T66" s="2869" t="n"/>
      <c r="U66" s="2870" t="n"/>
      <c r="W66" s="2862">
        <f>SUM(C66:H66)</f>
        <v/>
      </c>
      <c r="X66" s="2862">
        <f>SUM(I66:J66)</f>
        <v/>
      </c>
    </row>
    <row r="67" ht="13.5" customHeight="1" s="2828" thickBot="1">
      <c r="A67" s="980" t="inlineStr">
        <is>
          <t>I.Q4. Current tax assets</t>
        </is>
      </c>
      <c r="B67" s="2867">
        <f>SUM(C67:L67)</f>
        <v/>
      </c>
      <c r="C67" s="2864" t="n"/>
      <c r="D67" s="2864" t="n"/>
      <c r="E67" s="2864" t="n"/>
      <c r="F67" s="2864" t="n"/>
      <c r="G67" s="2864" t="n"/>
      <c r="H67" s="2864" t="n"/>
      <c r="I67" s="2864" t="n"/>
      <c r="J67" s="2864" t="n"/>
      <c r="K67" s="2864" t="n"/>
      <c r="L67" s="2864" t="n"/>
      <c r="M67" s="2868" t="n"/>
      <c r="N67" s="2869" t="n"/>
      <c r="O67" s="2870" t="n"/>
      <c r="P67" s="2869" t="n"/>
      <c r="Q67" s="2870" t="n"/>
      <c r="R67" s="2869" t="n"/>
      <c r="S67" s="2870" t="n"/>
      <c r="T67" s="2869" t="n"/>
      <c r="U67" s="2870" t="n"/>
      <c r="W67" s="2862">
        <f>SUM(C67:H67)</f>
        <v/>
      </c>
      <c r="X67" s="2862">
        <f>SUM(I67:J67)</f>
        <v/>
      </c>
    </row>
    <row r="68" ht="13.5" customHeight="1" s="2828" thickBot="1">
      <c r="A68" s="980" t="inlineStr">
        <is>
          <t xml:space="preserve">I.Q5. Deferred tax assets </t>
        </is>
      </c>
      <c r="B68" s="2867" t="n">
        <v>80</v>
      </c>
      <c r="C68" s="2864" t="n"/>
      <c r="D68" s="2864" t="n"/>
      <c r="E68" s="2864" t="n"/>
      <c r="F68" s="2864" t="n"/>
      <c r="G68" s="2864" t="n"/>
      <c r="H68" s="2864" t="n"/>
      <c r="I68" s="2864" t="n"/>
      <c r="J68" s="2864" t="n"/>
      <c r="K68" s="2864" t="n"/>
      <c r="L68" s="2864" t="n"/>
      <c r="M68" s="2868" t="n"/>
      <c r="N68" s="2869" t="n"/>
      <c r="O68" s="2870" t="n"/>
      <c r="P68" s="2869" t="n"/>
      <c r="Q68" s="2870" t="n"/>
      <c r="R68" s="2869" t="n"/>
      <c r="S68" s="2870" t="n"/>
      <c r="T68" s="2869" t="n"/>
      <c r="U68" s="2870" t="n"/>
      <c r="W68" s="2862">
        <f>SUM(C68:H68)</f>
        <v/>
      </c>
      <c r="X68" s="2862">
        <f>SUM(I68:J68)</f>
        <v/>
      </c>
    </row>
    <row r="69" ht="13.5" customHeight="1" s="2828" thickBot="1">
      <c r="A69" s="980" t="inlineStr">
        <is>
          <t>I.Q6. Direct investment in Own Capital instruments</t>
        </is>
      </c>
      <c r="B69" s="2867">
        <f>SUM(C69:L69)</f>
        <v/>
      </c>
      <c r="C69" s="2864" t="n"/>
      <c r="D69" s="2864" t="n"/>
      <c r="E69" s="2864" t="n"/>
      <c r="F69" s="2864" t="n"/>
      <c r="G69" s="2864" t="n"/>
      <c r="H69" s="2864" t="n"/>
      <c r="I69" s="2864" t="n"/>
      <c r="J69" s="2864" t="n"/>
      <c r="K69" s="2864" t="n"/>
      <c r="L69" s="2864" t="n"/>
      <c r="M69" s="2868" t="n"/>
      <c r="N69" s="2869" t="n"/>
      <c r="O69" s="2870" t="n"/>
      <c r="P69" s="2869" t="n"/>
      <c r="Q69" s="2870" t="n"/>
      <c r="R69" s="2869" t="n"/>
      <c r="S69" s="2870" t="n"/>
      <c r="T69" s="2869" t="n"/>
      <c r="U69" s="2870" t="n"/>
      <c r="W69" s="2862">
        <f>SUM(C69:H69)</f>
        <v/>
      </c>
      <c r="X69" s="2862">
        <f>SUM(I69:J69)</f>
        <v/>
      </c>
    </row>
    <row r="70" ht="13.5" customHeight="1" s="2828" thickBot="1">
      <c r="A70" s="980" t="inlineStr">
        <is>
          <t>I.Q7. Defined benefit pension fund assets</t>
        </is>
      </c>
      <c r="B70" s="2867">
        <f>SUM(C70:L70)</f>
        <v/>
      </c>
      <c r="C70" s="2864" t="n"/>
      <c r="D70" s="2864" t="n"/>
      <c r="E70" s="2864" t="n"/>
      <c r="F70" s="2864" t="n"/>
      <c r="G70" s="2864" t="n"/>
      <c r="H70" s="2864" t="n"/>
      <c r="I70" s="2864" t="n"/>
      <c r="J70" s="2864" t="n"/>
      <c r="K70" s="2864" t="n"/>
      <c r="L70" s="2864" t="n"/>
      <c r="M70" s="2868" t="n"/>
      <c r="N70" s="2869" t="n"/>
      <c r="O70" s="2870" t="n"/>
      <c r="P70" s="2869" t="n"/>
      <c r="Q70" s="2870" t="n"/>
      <c r="R70" s="2869" t="n"/>
      <c r="S70" s="2870" t="n"/>
      <c r="T70" s="2869" t="n"/>
      <c r="U70" s="2870" t="n"/>
      <c r="W70" s="2862">
        <f>SUM(C70:H70)</f>
        <v/>
      </c>
      <c r="X70" s="2862">
        <f>SUM(I70:J70)</f>
        <v/>
      </c>
    </row>
    <row r="71" ht="13.5" customHeight="1" s="2828" thickBot="1">
      <c r="A71" s="980" t="inlineStr">
        <is>
          <t>I.Q8. Lease receivables / right-of-use assets</t>
        </is>
      </c>
      <c r="B71" s="2867">
        <f>SUM(C71:L71)</f>
        <v/>
      </c>
      <c r="C71" s="2864" t="n"/>
      <c r="D71" s="2864" t="n"/>
      <c r="E71" s="2864" t="n"/>
      <c r="F71" s="2864" t="n"/>
      <c r="G71" s="2864" t="n"/>
      <c r="H71" s="2864" t="n"/>
      <c r="I71" s="2864" t="n"/>
      <c r="J71" s="2864" t="n"/>
      <c r="K71" s="2864" t="n"/>
      <c r="L71" s="2864" t="n"/>
      <c r="M71" s="2868" t="n"/>
      <c r="N71" s="2869" t="n"/>
      <c r="O71" s="2870" t="n"/>
      <c r="P71" s="2864" t="n"/>
      <c r="Q71" s="2870" t="n"/>
      <c r="R71" s="2864" t="n"/>
      <c r="S71" s="2870" t="n"/>
      <c r="T71" s="2864" t="n"/>
      <c r="U71" s="2870" t="n"/>
      <c r="W71" s="2862">
        <f>SUM(C71:H71)</f>
        <v/>
      </c>
      <c r="X71" s="2862">
        <f>SUM(I71:J71)</f>
        <v/>
      </c>
    </row>
    <row r="72" ht="13.5" customHeight="1" s="2828" thickBot="1">
      <c r="A72" s="980" t="inlineStr">
        <is>
          <t>I.Q9. Other non-investment assets</t>
        </is>
      </c>
      <c r="B72" s="2867" t="n">
        <v>50</v>
      </c>
      <c r="C72" s="2864" t="n"/>
      <c r="D72" s="2864" t="n"/>
      <c r="E72" s="2864" t="n"/>
      <c r="F72" s="2864" t="n"/>
      <c r="G72" s="2864" t="n"/>
      <c r="H72" s="2864" t="n"/>
      <c r="I72" s="2864" t="n"/>
      <c r="J72" s="2864" t="n"/>
      <c r="K72" s="2864" t="n"/>
      <c r="L72" s="2864" t="n"/>
      <c r="M72" s="2868" t="n"/>
      <c r="N72" s="2869" t="n"/>
      <c r="O72" s="2870" t="n"/>
      <c r="P72" s="2864" t="n"/>
      <c r="Q72" s="2870" t="n"/>
      <c r="R72" s="2864" t="n"/>
      <c r="S72" s="2870" t="n"/>
      <c r="T72" s="2864" t="n"/>
      <c r="U72" s="2870" t="n"/>
      <c r="W72" s="2862">
        <f>SUM(C72:H72)</f>
        <v/>
      </c>
      <c r="X72" s="2862">
        <f>SUM(I72:J72)</f>
        <v/>
      </c>
    </row>
    <row r="73" ht="13.5" customHeight="1" s="2828" thickBot="1">
      <c r="A73" s="2267" t="inlineStr">
        <is>
          <t>I.R.Amount due from Shareholder Fund</t>
        </is>
      </c>
      <c r="B73" s="2870" t="n"/>
      <c r="C73" s="2864" t="n"/>
      <c r="D73" s="2864" t="n"/>
      <c r="E73" s="2864" t="n"/>
      <c r="F73" s="2864" t="n"/>
      <c r="G73" s="2864" t="n"/>
      <c r="H73" s="2864" t="n"/>
      <c r="I73" s="2864" t="n"/>
      <c r="J73" s="2864" t="n"/>
      <c r="K73" s="2864" t="n"/>
      <c r="L73" s="2870" t="n"/>
      <c r="M73" s="2868" t="n"/>
      <c r="N73" s="2869" t="n"/>
      <c r="O73" s="2864" t="n"/>
      <c r="P73" s="2864" t="n"/>
      <c r="Q73" s="2864" t="n"/>
      <c r="R73" s="2864" t="n"/>
      <c r="S73" s="2864" t="n"/>
      <c r="T73" s="2864" t="n"/>
      <c r="U73" s="2864" t="n"/>
      <c r="W73" s="2862">
        <f>SUM(C73:H73)</f>
        <v/>
      </c>
      <c r="X73" s="2862">
        <f>SUM(I73:J73)</f>
        <v/>
      </c>
    </row>
    <row r="74" ht="13.5" customHeight="1" s="2828" thickBot="1">
      <c r="A74" s="2267" t="inlineStr">
        <is>
          <t>I.S.Amount due from other insurance funds</t>
        </is>
      </c>
      <c r="B74" s="2870" t="n"/>
      <c r="C74" s="2864" t="n"/>
      <c r="D74" s="2864" t="n"/>
      <c r="E74" s="2864" t="n"/>
      <c r="F74" s="2864" t="n"/>
      <c r="G74" s="2864" t="n"/>
      <c r="H74" s="2864" t="n"/>
      <c r="I74" s="2864" t="n"/>
      <c r="J74" s="2864" t="n"/>
      <c r="K74" s="2864" t="n"/>
      <c r="L74" s="2864" t="n"/>
      <c r="M74" s="2868" t="n"/>
      <c r="N74" s="2869" t="n"/>
      <c r="O74" s="2864" t="n"/>
      <c r="P74" s="2864" t="n"/>
      <c r="Q74" s="2864" t="n"/>
      <c r="R74" s="2864" t="n"/>
      <c r="S74" s="2864" t="n"/>
      <c r="T74" s="2864" t="n"/>
      <c r="U74" s="2864" t="n"/>
      <c r="W74" s="2862">
        <f>SUM(C74:H74)</f>
        <v/>
      </c>
      <c r="X74" s="2862">
        <f>SUM(I74:J74)</f>
        <v/>
      </c>
    </row>
    <row r="75" ht="13.5" customHeight="1" s="2828" thickBot="1">
      <c r="A75" s="2267" t="inlineStr">
        <is>
          <t>I.T. [Any other assets, not elsewhere shown]</t>
        </is>
      </c>
      <c r="B75" s="2867">
        <f>SUM(C75:L75)</f>
        <v/>
      </c>
      <c r="C75" s="2876" t="n"/>
      <c r="D75" s="2876" t="n"/>
      <c r="E75" s="2876" t="n"/>
      <c r="F75" s="2876" t="n"/>
      <c r="G75" s="2876" t="n"/>
      <c r="H75" s="2876" t="n"/>
      <c r="I75" s="2876" t="n"/>
      <c r="J75" s="2876" t="n"/>
      <c r="K75" s="2876" t="n"/>
      <c r="L75" s="2876" t="n"/>
      <c r="M75" s="2877" t="n"/>
      <c r="N75" s="2878" t="n"/>
      <c r="O75" s="2876" t="n"/>
      <c r="P75" s="2876" t="n"/>
      <c r="Q75" s="2876" t="n"/>
      <c r="R75" s="2876" t="n"/>
      <c r="S75" s="2876" t="n"/>
      <c r="T75" s="2876" t="n"/>
      <c r="U75" s="2876" t="n"/>
      <c r="W75" s="2862">
        <f>SUM(C75:H75)</f>
        <v/>
      </c>
      <c r="X75" s="2862">
        <f>SUM(I75:J75)</f>
        <v/>
      </c>
    </row>
    <row r="76" ht="13.5" customHeight="1" s="2828" thickBot="1">
      <c r="A76" s="981" t="n"/>
      <c r="B76" s="2880" t="n"/>
      <c r="C76" s="2880" t="n"/>
      <c r="D76" s="2880" t="n"/>
      <c r="E76" s="2880" t="n"/>
      <c r="F76" s="2880" t="n"/>
      <c r="G76" s="2880" t="n"/>
      <c r="H76" s="2880" t="n"/>
      <c r="I76" s="2880" t="n"/>
      <c r="J76" s="2880" t="n"/>
      <c r="K76" s="2880" t="n"/>
      <c r="L76" s="2880" t="n"/>
      <c r="M76" s="2877" t="n"/>
      <c r="N76" s="2881" t="n"/>
      <c r="O76" s="2880" t="n"/>
      <c r="P76" s="2880" t="n"/>
      <c r="Q76" s="2880" t="n"/>
      <c r="R76" s="2880" t="n"/>
      <c r="S76" s="2880" t="n"/>
      <c r="T76" s="2880" t="n"/>
      <c r="U76" s="2880" t="n"/>
      <c r="W76" s="2881" t="n"/>
      <c r="X76" s="2882" t="n"/>
    </row>
    <row r="77" ht="13.5" customHeight="1" s="2828" thickBot="1">
      <c r="A77" s="2267" t="inlineStr">
        <is>
          <t>I.U. Total assets (summation of items I.A. to I.T.)</t>
        </is>
      </c>
      <c r="B77" s="2863" t="n">
        <v>45000</v>
      </c>
      <c r="C77" s="2863">
        <f>SUM(C20:C22,C25:C26,C33,C39:C40,C43:C44,C47:C48,C51,C54,C57:C60,C73:C75)</f>
        <v/>
      </c>
      <c r="D77" s="2863">
        <f>SUM(D20:D22,D25:D26,D33,D39:D40,D43:D44,D47:D48,D51,D54,D57:D60,D73:D75)</f>
        <v/>
      </c>
      <c r="E77" s="2863">
        <f>SUM(E20:E22,E25:E26,E33,E39:E40,E43:E44,E47:E48,E51,E54,E57:E60,E73:E75)</f>
        <v/>
      </c>
      <c r="F77" s="2863">
        <f>SUM(F20:F22,F25:F26,F33,F39:F40,F43:F44,F47:F48,F51,F54,F57:F60,F73:F75)</f>
        <v/>
      </c>
      <c r="G77" s="2863">
        <f>SUM(G20:G22,G25:G26,G33,G39:G40,G43:G44,G47:G48,G51,G54,G57:G60,G73:G75)</f>
        <v/>
      </c>
      <c r="H77" s="2863">
        <f>SUM(H20:H22,H25:H26,H33,H39:H40,H43:H44,H47:H48,H51,H54,H57:H60,H73:H75)</f>
        <v/>
      </c>
      <c r="I77" s="2863">
        <f>SUM(I20:I22,I25:I26,I33,I39:I40,I43:I44,I47:I48,I51,I54,I57:I60,I73:I75)</f>
        <v/>
      </c>
      <c r="J77" s="2863">
        <f>SUM(J20:J22,J25:J26,J33,J39:J40,J43:J44,J47:J48,J51,J54,J57:J60,J73:J75)</f>
        <v/>
      </c>
      <c r="K77" s="2863">
        <f>SUM(K20:K22,K25:K26,K33,K39:K40,K43:K44,K47:K48,K51,K54,K57:K60,K73:K75)</f>
        <v/>
      </c>
      <c r="L77" s="2863">
        <f>SUM(L20:L22,L25:L26,L33,L39:L40,L43:L44,L47:L48,L51,L54,L57:L60,L73:L75)</f>
        <v/>
      </c>
      <c r="M77" s="2859" t="n"/>
      <c r="N77" s="2863">
        <f>SUM(N20:N22,N25:N26,N33,N39:N40,N43:N44,N47:N48,N51,N54,N57:N60,N73:N75)</f>
        <v/>
      </c>
      <c r="O77" s="2863">
        <f>SUM(O20:O22,O25:O26,O33,O39:O40,O43:O44,O47:O48,O51,O54,O57:O60,O73:O75)</f>
        <v/>
      </c>
      <c r="P77" s="2863">
        <f>SUM(P20:P22,P25:P26,P33,P39:P40,P43:P44,P47:P48,P51,P54,P57:P60,P73:P75)</f>
        <v/>
      </c>
      <c r="Q77" s="2863">
        <f>SUM(Q20:Q22,Q25:Q26,Q33,Q39:Q40,Q43:Q44,Q47:Q48,Q51,Q54,Q57:Q60,Q73:Q75)</f>
        <v/>
      </c>
      <c r="R77" s="2863">
        <f>SUM(R20:R22,R25:R26,R33,R39:R40,R43:R44,R47:R48,R51,R54,R57:R60,R73:R75)</f>
        <v/>
      </c>
      <c r="S77" s="2863">
        <f>SUM(S20:S22,S25:S26,S33,S39:S40,S43:S44,S47:S48,S51,S54,S57:S60,S73:S75)</f>
        <v/>
      </c>
      <c r="T77" s="2863">
        <f>SUM(T20:T22,T25:T26,T33,T39:T40,T43:T44,T47:T48,T51,T54,T57:T60,T73:T75)</f>
        <v/>
      </c>
      <c r="U77" s="2863">
        <f>SUM(U20:U22,U25:U26,U33,U39:U40,U43:U44,U47:U48,U51,U54,U57:U60,U73:U75)</f>
        <v/>
      </c>
      <c r="W77" s="2862">
        <f>SUM(C77:H77)</f>
        <v/>
      </c>
      <c r="X77" s="2862">
        <f>SUM(I77:J77)</f>
        <v/>
      </c>
    </row>
    <row r="78" ht="13.5" customHeight="1" s="2828" thickBot="1">
      <c r="A78" s="981" t="n"/>
      <c r="B78" s="2883" t="n"/>
      <c r="C78" s="2883" t="n"/>
      <c r="D78" s="2883" t="n"/>
      <c r="E78" s="2883" t="n"/>
      <c r="F78" s="2883" t="n"/>
      <c r="G78" s="2883" t="n"/>
      <c r="H78" s="2883" t="n"/>
      <c r="I78" s="2883" t="n"/>
      <c r="J78" s="2883" t="n"/>
      <c r="K78" s="2883" t="n"/>
      <c r="L78" s="2883" t="n"/>
      <c r="M78" s="2884" t="n"/>
      <c r="N78" s="2885" t="n"/>
      <c r="O78" s="2883" t="n"/>
      <c r="P78" s="2883" t="n"/>
      <c r="Q78" s="2883" t="n"/>
      <c r="R78" s="2883" t="n"/>
      <c r="S78" s="2883" t="n"/>
      <c r="T78" s="2883" t="n"/>
      <c r="U78" s="2883" t="n"/>
      <c r="W78" s="2885" t="n"/>
      <c r="X78" s="2885" t="n"/>
    </row>
    <row r="79" ht="13.5" customHeight="1" s="2828" thickBot="1">
      <c r="A79" s="968" t="inlineStr">
        <is>
          <t>II – Total liabilities</t>
        </is>
      </c>
      <c r="B79" s="2853" t="n"/>
      <c r="C79" s="2853" t="n"/>
      <c r="D79" s="2853" t="n"/>
      <c r="E79" s="2853" t="n"/>
      <c r="F79" s="2853" t="n"/>
      <c r="G79" s="2853" t="n"/>
      <c r="H79" s="2853" t="n"/>
      <c r="I79" s="2853" t="n"/>
      <c r="J79" s="2853" t="n"/>
      <c r="K79" s="2853" t="n"/>
      <c r="L79" s="2853" t="n"/>
      <c r="M79" s="2854" t="n"/>
      <c r="N79" s="2855" t="n"/>
      <c r="O79" s="2853" t="n"/>
      <c r="P79" s="2853" t="n"/>
      <c r="Q79" s="2853" t="n"/>
      <c r="R79" s="2853" t="n"/>
      <c r="S79" s="2853" t="n"/>
      <c r="T79" s="2853" t="n"/>
      <c r="U79" s="2853" t="n"/>
      <c r="W79" s="2855" t="n"/>
      <c r="X79" s="2855" t="n"/>
    </row>
    <row r="80" ht="39.6" customHeight="1" s="2828" thickBot="1">
      <c r="A80" s="972" t="inlineStr">
        <is>
          <t>II.A. and II.B. Total insurance liabilities (gross of reinsurance)</t>
        </is>
      </c>
      <c r="B80" s="2863" t="n">
        <v>27650</v>
      </c>
      <c r="C80" s="2863">
        <f>SUM(C81,C88)</f>
        <v/>
      </c>
      <c r="D80" s="2863">
        <f>SUM(D81,D88)</f>
        <v/>
      </c>
      <c r="E80" s="2863">
        <f>SUM(E81,E88)</f>
        <v/>
      </c>
      <c r="F80" s="2863">
        <f>SUM(F81,F88)</f>
        <v/>
      </c>
      <c r="G80" s="2863">
        <f>SUM(G81,G88)</f>
        <v/>
      </c>
      <c r="H80" s="2863">
        <f>SUM(H81,H88)</f>
        <v/>
      </c>
      <c r="I80" s="2863">
        <f>SUM(I81,I88)</f>
        <v/>
      </c>
      <c r="J80" s="2863">
        <f>SUM(J81,J88)</f>
        <v/>
      </c>
      <c r="K80" s="2863">
        <f>SUM(K81,K88)</f>
        <v/>
      </c>
      <c r="L80" s="2863">
        <f>SUM(L81,L88)</f>
        <v/>
      </c>
      <c r="M80" s="2859" t="n"/>
      <c r="N80" s="2862">
        <f>SUM(N81,N88)</f>
        <v/>
      </c>
      <c r="O80" s="2862">
        <f>SUM(O81,O88)</f>
        <v/>
      </c>
      <c r="P80" s="2863">
        <f>SUM(P81,P88)</f>
        <v/>
      </c>
      <c r="Q80" s="2862">
        <f>SUM(Q81,Q88)</f>
        <v/>
      </c>
      <c r="R80" s="2863">
        <f>SUM(R81,R88)</f>
        <v/>
      </c>
      <c r="S80" s="2862">
        <f>SUM(S81,S88)</f>
        <v/>
      </c>
      <c r="T80" s="2863">
        <f>SUM(T81,T88)</f>
        <v/>
      </c>
      <c r="U80" s="2862">
        <f>SUM(U81,U88)</f>
        <v/>
      </c>
      <c r="W80" s="2862">
        <f>SUM(C80:H80)</f>
        <v/>
      </c>
      <c r="X80" s="2862">
        <f>SUM(I80:J80)</f>
        <v/>
      </c>
    </row>
    <row r="81" ht="13.5" customHeight="1" s="2828" thickBot="1">
      <c r="A81" s="972" t="inlineStr">
        <is>
          <t>Of which: II.A. General insurance liabilities</t>
        </is>
      </c>
      <c r="B81" s="2863">
        <f>SUM(B82:B84,B87)</f>
        <v/>
      </c>
      <c r="C81" s="2863">
        <f>SUM(C82:C84,C87)</f>
        <v/>
      </c>
      <c r="D81" s="2886" t="n"/>
      <c r="E81" s="2886" t="n"/>
      <c r="F81" s="2863">
        <f>SUM(F82:F84,F87)</f>
        <v/>
      </c>
      <c r="G81" s="2863">
        <f>SUM(G82:G84,G87)</f>
        <v/>
      </c>
      <c r="H81" s="2863">
        <f>SUM(H82:H84,H87)</f>
        <v/>
      </c>
      <c r="I81" s="2863">
        <f>SUM(I82:I84,I87)</f>
        <v/>
      </c>
      <c r="J81" s="2863">
        <f>SUM(J82:J84,J87)</f>
        <v/>
      </c>
      <c r="K81" s="2886" t="n"/>
      <c r="L81" s="2886" t="n"/>
      <c r="M81" s="2868" t="n"/>
      <c r="N81" s="2862">
        <f>SUM(N82:N84,N87)</f>
        <v/>
      </c>
      <c r="O81" s="2862">
        <f>SUM(O82:O84,O87)</f>
        <v/>
      </c>
      <c r="P81" s="2863">
        <f>SUM(P82:P84,P87)</f>
        <v/>
      </c>
      <c r="Q81" s="2862">
        <f>SUM(Q82:Q84,Q87)</f>
        <v/>
      </c>
      <c r="R81" s="2863">
        <f>SUM(R82:R84,R87)</f>
        <v/>
      </c>
      <c r="S81" s="2862">
        <f>SUM(S82:S84,S87)</f>
        <v/>
      </c>
      <c r="T81" s="2863">
        <f>SUM(T82:T84,T87)</f>
        <v/>
      </c>
      <c r="U81" s="2862">
        <f>SUM(U82:U84,U87)</f>
        <v/>
      </c>
      <c r="W81" s="2862">
        <f>SUM(C81:H81)</f>
        <v/>
      </c>
      <c r="X81" s="2862">
        <f>SUM(I81:J81)</f>
        <v/>
      </c>
    </row>
    <row r="82" ht="13.5" customHeight="1" s="2828" thickBot="1">
      <c r="A82" s="974" t="inlineStr">
        <is>
          <t>II.A1. Outstanding claims liabilities</t>
        </is>
      </c>
      <c r="B82" s="2867">
        <f>SUM(C82:L82)</f>
        <v/>
      </c>
      <c r="C82" s="2864" t="n"/>
      <c r="D82" s="2886" t="n"/>
      <c r="E82" s="2886" t="n"/>
      <c r="F82" s="2864" t="n"/>
      <c r="G82" s="2864" t="n"/>
      <c r="H82" s="2864" t="n"/>
      <c r="I82" s="2864" t="n"/>
      <c r="J82" s="2864" t="n"/>
      <c r="K82" s="2886" t="n"/>
      <c r="L82" s="2886" t="n"/>
      <c r="M82" s="2868" t="n"/>
      <c r="N82" s="2869" t="n"/>
      <c r="O82" s="2864" t="n"/>
      <c r="P82" s="2864" t="n"/>
      <c r="Q82" s="2864" t="n"/>
      <c r="R82" s="2864" t="n"/>
      <c r="S82" s="2864" t="n"/>
      <c r="T82" s="2864" t="n"/>
      <c r="U82" s="2864" t="n"/>
      <c r="W82" s="2862">
        <f>SUM(C82:H82)</f>
        <v/>
      </c>
      <c r="X82" s="2862">
        <f>SUM(I82:J82)</f>
        <v/>
      </c>
    </row>
    <row r="83" ht="13.5" customHeight="1" s="2828" thickBot="1">
      <c r="A83" s="974" t="inlineStr">
        <is>
          <t>II.A2. Premium liabilities</t>
        </is>
      </c>
      <c r="B83" s="2867">
        <f>SUM(C83:L83)</f>
        <v/>
      </c>
      <c r="C83" s="2864" t="n"/>
      <c r="D83" s="2886" t="n"/>
      <c r="E83" s="2886" t="n"/>
      <c r="F83" s="2864" t="n"/>
      <c r="G83" s="2864" t="n"/>
      <c r="H83" s="2864" t="n"/>
      <c r="I83" s="2864" t="n"/>
      <c r="J83" s="2864" t="n"/>
      <c r="K83" s="2886" t="n"/>
      <c r="L83" s="2886" t="n"/>
      <c r="M83" s="2868" t="n"/>
      <c r="N83" s="2869" t="n"/>
      <c r="O83" s="2864" t="n"/>
      <c r="P83" s="2864" t="n"/>
      <c r="Q83" s="2864" t="n"/>
      <c r="R83" s="2864" t="n"/>
      <c r="S83" s="2864" t="n"/>
      <c r="T83" s="2864" t="n"/>
      <c r="U83" s="2864" t="n"/>
      <c r="W83" s="2862">
        <f>SUM(C83:H83)</f>
        <v/>
      </c>
      <c r="X83" s="2862">
        <f>SUM(I83:J83)</f>
        <v/>
      </c>
    </row>
    <row r="84" ht="13.5" customHeight="1" s="2828" thickBot="1">
      <c r="A84" s="974" t="inlineStr">
        <is>
          <t>II.A3. Margin over Current Estimate for:</t>
        </is>
      </c>
      <c r="B84" s="2863">
        <f>SUM(B85:B86)</f>
        <v/>
      </c>
      <c r="C84" s="2863">
        <f>SUM(C85:C86)</f>
        <v/>
      </c>
      <c r="D84" s="2886" t="n"/>
      <c r="E84" s="2886" t="n"/>
      <c r="F84" s="2863">
        <f>SUM(F85:F86)</f>
        <v/>
      </c>
      <c r="G84" s="2863">
        <f>SUM(G85:G86)</f>
        <v/>
      </c>
      <c r="H84" s="2863">
        <f>SUM(H85:H86)</f>
        <v/>
      </c>
      <c r="I84" s="2863">
        <f>SUM(I85:I86)</f>
        <v/>
      </c>
      <c r="J84" s="2863">
        <f>SUM(J85:J86)</f>
        <v/>
      </c>
      <c r="K84" s="2886" t="n"/>
      <c r="L84" s="2886" t="n"/>
      <c r="M84" s="2868" t="n"/>
      <c r="N84" s="2887">
        <f>SUM(N85:N86)</f>
        <v/>
      </c>
      <c r="O84" s="2863">
        <f>SUM(O85:O86)</f>
        <v/>
      </c>
      <c r="P84" s="2888">
        <f>SUM(P85:P86)</f>
        <v/>
      </c>
      <c r="Q84" s="2863">
        <f>SUM(Q85:Q86)</f>
        <v/>
      </c>
      <c r="R84" s="2888">
        <f>SUM(R85:R86)</f>
        <v/>
      </c>
      <c r="S84" s="2863">
        <f>SUM(S85:S86)</f>
        <v/>
      </c>
      <c r="T84" s="2888">
        <f>SUM(T85:T86)</f>
        <v/>
      </c>
      <c r="U84" s="2863">
        <f>SUM(U85:U86)</f>
        <v/>
      </c>
      <c r="W84" s="2862">
        <f>SUM(C84:H84)</f>
        <v/>
      </c>
      <c r="X84" s="2862">
        <f>SUM(I84:J84)</f>
        <v/>
      </c>
    </row>
    <row r="85" ht="13.5" customHeight="1" s="2828" thickBot="1">
      <c r="A85" s="986" t="inlineStr">
        <is>
          <t>II.A3a. Outstanding claims liabilities</t>
        </is>
      </c>
      <c r="B85" s="2867">
        <f>SUM(C85:L85)</f>
        <v/>
      </c>
      <c r="C85" s="2864" t="n"/>
      <c r="D85" s="2886" t="n"/>
      <c r="E85" s="2886" t="n"/>
      <c r="F85" s="2864" t="n"/>
      <c r="G85" s="2864" t="n"/>
      <c r="H85" s="2864" t="n"/>
      <c r="I85" s="2864" t="n"/>
      <c r="J85" s="2864" t="n"/>
      <c r="K85" s="2886" t="n"/>
      <c r="L85" s="2886" t="n"/>
      <c r="M85" s="2868" t="n"/>
      <c r="N85" s="2869" t="n"/>
      <c r="O85" s="2864" t="n"/>
      <c r="P85" s="2864" t="n"/>
      <c r="Q85" s="2864" t="n"/>
      <c r="R85" s="2864" t="n"/>
      <c r="S85" s="2864" t="n"/>
      <c r="T85" s="2864" t="n"/>
      <c r="U85" s="2864" t="n"/>
      <c r="W85" s="2862">
        <f>SUM(C85:H85)</f>
        <v/>
      </c>
      <c r="X85" s="2862">
        <f>SUM(I85:J85)</f>
        <v/>
      </c>
    </row>
    <row r="86" ht="13.5" customHeight="1" s="2828" thickBot="1">
      <c r="A86" s="986" t="inlineStr">
        <is>
          <t>II.A3b. Premium liabilities</t>
        </is>
      </c>
      <c r="B86" s="2867">
        <f>SUM(C86:L86)</f>
        <v/>
      </c>
      <c r="C86" s="2864" t="n"/>
      <c r="D86" s="2886" t="n"/>
      <c r="E86" s="2886" t="n"/>
      <c r="F86" s="2864" t="n"/>
      <c r="G86" s="2864" t="n"/>
      <c r="H86" s="2864" t="n"/>
      <c r="I86" s="2864" t="n"/>
      <c r="J86" s="2864" t="n"/>
      <c r="K86" s="2886" t="n"/>
      <c r="L86" s="2886" t="n"/>
      <c r="M86" s="2868" t="n"/>
      <c r="N86" s="2869" t="n"/>
      <c r="O86" s="2864" t="n"/>
      <c r="P86" s="2864" t="n"/>
      <c r="Q86" s="2864" t="n"/>
      <c r="R86" s="2864" t="n"/>
      <c r="S86" s="2864" t="n"/>
      <c r="T86" s="2864" t="n"/>
      <c r="U86" s="2864" t="n"/>
      <c r="W86" s="2862">
        <f>SUM(C86:H86)</f>
        <v/>
      </c>
      <c r="X86" s="2862">
        <f>SUM(I86:J86)</f>
        <v/>
      </c>
    </row>
    <row r="87" ht="13.5" customHeight="1" s="2828" thickBot="1">
      <c r="A87" s="974" t="inlineStr">
        <is>
          <t>II.A4. Other general insurance liabilities</t>
        </is>
      </c>
      <c r="B87" s="2867">
        <f>SUM(C87:L87)</f>
        <v/>
      </c>
      <c r="C87" s="2864" t="n"/>
      <c r="D87" s="2886" t="n"/>
      <c r="E87" s="2886" t="n"/>
      <c r="F87" s="2864" t="n"/>
      <c r="G87" s="2864" t="n"/>
      <c r="H87" s="2864" t="n"/>
      <c r="I87" s="2864" t="n"/>
      <c r="J87" s="2864" t="n"/>
      <c r="K87" s="2886" t="n"/>
      <c r="L87" s="2886" t="n"/>
      <c r="M87" s="2868" t="n"/>
      <c r="N87" s="2869" t="n"/>
      <c r="O87" s="2864" t="n"/>
      <c r="P87" s="2864" t="n"/>
      <c r="Q87" s="2864" t="n"/>
      <c r="R87" s="2864" t="n"/>
      <c r="S87" s="2864" t="n"/>
      <c r="T87" s="2864" t="n"/>
      <c r="U87" s="2864" t="n"/>
      <c r="W87" s="2862">
        <f>SUM(C87:H87)</f>
        <v/>
      </c>
      <c r="X87" s="2862">
        <f>SUM(I87:J87)</f>
        <v/>
      </c>
    </row>
    <row r="88" ht="13.5" customHeight="1" s="2828" thickBot="1">
      <c r="A88" s="972" t="inlineStr">
        <is>
          <t xml:space="preserve">Of which: II.B Long term insurance liabilities </t>
        </is>
      </c>
      <c r="B88" s="2867">
        <f>SUM(B89:B94)</f>
        <v/>
      </c>
      <c r="C88" s="2863">
        <f>SUM(C89:C94)</f>
        <v/>
      </c>
      <c r="D88" s="2863">
        <f>SUM(D89:D94)</f>
        <v/>
      </c>
      <c r="E88" s="2863">
        <f>SUM(E89:E94)</f>
        <v/>
      </c>
      <c r="F88" s="2863">
        <f>SUM(F89:F94)</f>
        <v/>
      </c>
      <c r="G88" s="2863">
        <f>SUM(G89:G94)</f>
        <v/>
      </c>
      <c r="H88" s="2863">
        <f>SUM(H89:H94)</f>
        <v/>
      </c>
      <c r="I88" s="2886" t="n"/>
      <c r="J88" s="2886" t="n"/>
      <c r="K88" s="2886" t="n"/>
      <c r="L88" s="2886" t="n"/>
      <c r="M88" s="2868" t="n"/>
      <c r="N88" s="2862">
        <f>SUM(N89:N94)</f>
        <v/>
      </c>
      <c r="O88" s="2862">
        <f>SUM(O89:O94)</f>
        <v/>
      </c>
      <c r="P88" s="2863">
        <f>SUM(P89:P94)</f>
        <v/>
      </c>
      <c r="Q88" s="2862">
        <f>SUM(Q89:Q94)</f>
        <v/>
      </c>
      <c r="R88" s="2863">
        <f>SUM(R89:R94)</f>
        <v/>
      </c>
      <c r="S88" s="2862">
        <f>SUM(S89:S94)</f>
        <v/>
      </c>
      <c r="T88" s="2863">
        <f>SUM(T89:T94)</f>
        <v/>
      </c>
      <c r="U88" s="2862">
        <f>SUM(U89:U94)</f>
        <v/>
      </c>
      <c r="W88" s="2862">
        <f>SUM(C88:H88)</f>
        <v/>
      </c>
      <c r="X88" s="2860" t="n"/>
    </row>
    <row r="89" ht="13.5" customHeight="1" s="2828" thickBot="1">
      <c r="A89" s="974" t="inlineStr">
        <is>
          <t>II.B1. Outstanding claims - reported claims</t>
        </is>
      </c>
      <c r="B89" s="2867">
        <f>SUM(C89:L89)</f>
        <v/>
      </c>
      <c r="C89" s="2864" t="n"/>
      <c r="D89" s="2864" t="n"/>
      <c r="E89" s="2864" t="n"/>
      <c r="F89" s="2864" t="n"/>
      <c r="G89" s="2864" t="n"/>
      <c r="H89" s="2864" t="n"/>
      <c r="I89" s="2886" t="n"/>
      <c r="J89" s="2886" t="n"/>
      <c r="K89" s="2886" t="n"/>
      <c r="L89" s="2886" t="n"/>
      <c r="M89" s="2868" t="n"/>
      <c r="N89" s="2869" t="n"/>
      <c r="O89" s="2864" t="n"/>
      <c r="P89" s="2864" t="n"/>
      <c r="Q89" s="2864" t="n"/>
      <c r="R89" s="2864" t="n"/>
      <c r="S89" s="2864" t="n"/>
      <c r="T89" s="2864" t="n"/>
      <c r="U89" s="2864" t="n"/>
      <c r="W89" s="2862">
        <f>SUM(C89:H89)</f>
        <v/>
      </c>
      <c r="X89" s="2889" t="n"/>
    </row>
    <row r="90" ht="13.5" customHeight="1" s="2828" thickBot="1">
      <c r="A90" s="974" t="inlineStr">
        <is>
          <t>II.B2. Outstanding claims - unreported claims</t>
        </is>
      </c>
      <c r="B90" s="2867">
        <f>SUM(C90:L90)</f>
        <v/>
      </c>
      <c r="C90" s="2864" t="n"/>
      <c r="D90" s="2864" t="n"/>
      <c r="E90" s="2864" t="n"/>
      <c r="F90" s="2864" t="n"/>
      <c r="G90" s="2864" t="n"/>
      <c r="H90" s="2864" t="n"/>
      <c r="I90" s="2886" t="n"/>
      <c r="J90" s="2886" t="n"/>
      <c r="K90" s="2886" t="n"/>
      <c r="L90" s="2886" t="n"/>
      <c r="M90" s="2868" t="n"/>
      <c r="N90" s="2869" t="n"/>
      <c r="O90" s="2864" t="n"/>
      <c r="P90" s="2864" t="n"/>
      <c r="Q90" s="2864" t="n"/>
      <c r="R90" s="2864" t="n"/>
      <c r="S90" s="2864" t="n"/>
      <c r="T90" s="2864" t="n"/>
      <c r="U90" s="2864" t="n"/>
      <c r="W90" s="2862">
        <f>SUM(C90:H90)</f>
        <v/>
      </c>
      <c r="X90" s="2889" t="n"/>
    </row>
    <row r="91" ht="13.5" customHeight="1" s="2828" thickBot="1">
      <c r="A91" s="974" t="inlineStr">
        <is>
          <t>II.B3. Inforce reserves</t>
        </is>
      </c>
      <c r="B91" s="2867" t="n">
        <v>23850</v>
      </c>
      <c r="C91" s="2864" t="n"/>
      <c r="D91" s="2864" t="n"/>
      <c r="E91" s="2864" t="n"/>
      <c r="F91" s="2864" t="n"/>
      <c r="G91" s="2864" t="n"/>
      <c r="H91" s="2864" t="n"/>
      <c r="I91" s="2886" t="n"/>
      <c r="J91" s="2886" t="n"/>
      <c r="K91" s="2886" t="n"/>
      <c r="L91" s="2886" t="n"/>
      <c r="M91" s="2868" t="n"/>
      <c r="N91" s="2869" t="n"/>
      <c r="O91" s="2864" t="n"/>
      <c r="P91" s="2864" t="n"/>
      <c r="Q91" s="2864" t="n"/>
      <c r="R91" s="2864" t="n"/>
      <c r="S91" s="2864" t="n"/>
      <c r="T91" s="2864" t="n"/>
      <c r="U91" s="2864" t="n"/>
      <c r="W91" s="2862">
        <f>SUM(C91:H91)</f>
        <v/>
      </c>
      <c r="X91" s="2889" t="n"/>
    </row>
    <row r="92" ht="13.5" customHeight="1" s="2828" thickBot="1">
      <c r="A92" s="974" t="inlineStr">
        <is>
          <t>II.B4. Margin over Current Estimate</t>
        </is>
      </c>
      <c r="B92" s="2867" t="n">
        <v>3800</v>
      </c>
      <c r="C92" s="2864" t="n"/>
      <c r="D92" s="2864" t="n"/>
      <c r="E92" s="2864" t="n"/>
      <c r="F92" s="2864" t="n"/>
      <c r="G92" s="2864" t="n"/>
      <c r="H92" s="2864" t="n"/>
      <c r="I92" s="2886" t="n"/>
      <c r="J92" s="2886" t="n"/>
      <c r="K92" s="2886" t="n"/>
      <c r="L92" s="2886" t="n"/>
      <c r="M92" s="2868" t="n"/>
      <c r="N92" s="2869" t="n"/>
      <c r="O92" s="2864" t="n"/>
      <c r="P92" s="2864" t="n"/>
      <c r="Q92" s="2864" t="n"/>
      <c r="R92" s="2864" t="n"/>
      <c r="S92" s="2864" t="n"/>
      <c r="T92" s="2864" t="n"/>
      <c r="U92" s="2864" t="n"/>
      <c r="W92" s="2862">
        <f>SUM(C92:H92)</f>
        <v/>
      </c>
      <c r="X92" s="2889" t="n"/>
    </row>
    <row r="93" ht="13.5" customHeight="1" s="2828" thickBot="1">
      <c r="A93" s="974" t="inlineStr">
        <is>
          <t>II.B5. Prepaid policyholder premiums</t>
        </is>
      </c>
      <c r="B93" s="2867">
        <f>SUM(C93:L93)</f>
        <v/>
      </c>
      <c r="C93" s="2864" t="n"/>
      <c r="D93" s="2864" t="n"/>
      <c r="E93" s="2864" t="n"/>
      <c r="F93" s="2864" t="n"/>
      <c r="G93" s="2864" t="n"/>
      <c r="H93" s="2864" t="n"/>
      <c r="I93" s="2886" t="n"/>
      <c r="J93" s="2886" t="n"/>
      <c r="K93" s="2886" t="n"/>
      <c r="L93" s="2886" t="n"/>
      <c r="M93" s="2868" t="n"/>
      <c r="N93" s="2869" t="n"/>
      <c r="O93" s="2864" t="n"/>
      <c r="P93" s="2864" t="n"/>
      <c r="Q93" s="2864" t="n"/>
      <c r="R93" s="2864" t="n"/>
      <c r="S93" s="2864" t="n"/>
      <c r="T93" s="2864" t="n"/>
      <c r="U93" s="2864" t="n"/>
      <c r="W93" s="2862">
        <f>SUM(C93:H93)</f>
        <v/>
      </c>
      <c r="X93" s="2889" t="n"/>
    </row>
    <row r="94" ht="13.5" customHeight="1" s="2828" thickBot="1">
      <c r="A94" s="974" t="inlineStr">
        <is>
          <t>II.B6. Other long term insurance liabilities</t>
        </is>
      </c>
      <c r="B94" s="2867">
        <f>SUM(C94:L94)</f>
        <v/>
      </c>
      <c r="C94" s="2864" t="n"/>
      <c r="D94" s="2864" t="n"/>
      <c r="E94" s="2864" t="n"/>
      <c r="F94" s="2864" t="n"/>
      <c r="G94" s="2864" t="n"/>
      <c r="H94" s="2864" t="n"/>
      <c r="I94" s="2886" t="n"/>
      <c r="J94" s="2886" t="n"/>
      <c r="K94" s="2886" t="n"/>
      <c r="L94" s="2886" t="n"/>
      <c r="M94" s="2868" t="n"/>
      <c r="N94" s="2869" t="n"/>
      <c r="O94" s="2864" t="n"/>
      <c r="P94" s="2864" t="n"/>
      <c r="Q94" s="2864" t="n"/>
      <c r="R94" s="2864" t="n"/>
      <c r="S94" s="2864" t="n"/>
      <c r="T94" s="2864" t="n"/>
      <c r="U94" s="2864" t="n"/>
      <c r="W94" s="2862">
        <f>SUM(C94:H94)</f>
        <v/>
      </c>
      <c r="X94" s="2889" t="n"/>
    </row>
    <row r="95" ht="26.25" customHeight="1" s="2828" thickBot="1">
      <c r="A95" s="972" t="inlineStr">
        <is>
          <t>II.C. Payables to policyholders, intermediaries &amp; reinsurers (including deposits from)</t>
        </is>
      </c>
      <c r="B95" s="2867">
        <f>SUM(C95:L95)</f>
        <v/>
      </c>
      <c r="C95" s="2864" t="n"/>
      <c r="D95" s="2864" t="n"/>
      <c r="E95" s="2864" t="n"/>
      <c r="F95" s="2864" t="n"/>
      <c r="G95" s="2864" t="n"/>
      <c r="H95" s="2864" t="n"/>
      <c r="I95" s="2864" t="n"/>
      <c r="J95" s="2864" t="n"/>
      <c r="K95" s="2886" t="n"/>
      <c r="L95" s="2886" t="n"/>
      <c r="M95" s="2868" t="n"/>
      <c r="N95" s="2869" t="n"/>
      <c r="O95" s="2871" t="n"/>
      <c r="P95" s="2864" t="n"/>
      <c r="Q95" s="2871" t="n"/>
      <c r="R95" s="2864" t="n"/>
      <c r="S95" s="2871" t="n"/>
      <c r="T95" s="2864" t="n"/>
      <c r="U95" s="2871" t="n"/>
      <c r="W95" s="2862">
        <f>SUM(C95:H95)</f>
        <v/>
      </c>
      <c r="X95" s="2862">
        <f>SUM(I95:J95)</f>
        <v/>
      </c>
    </row>
    <row r="96" ht="13.5" customHeight="1" s="2828" thickBot="1">
      <c r="A96" s="972" t="inlineStr">
        <is>
          <t>II.D. Reinsurance liabilities</t>
        </is>
      </c>
      <c r="B96" s="2867">
        <f>SUM(C96:L96)</f>
        <v/>
      </c>
      <c r="C96" s="2871" t="n"/>
      <c r="D96" s="2871" t="n"/>
      <c r="E96" s="2871" t="n"/>
      <c r="F96" s="2871" t="n"/>
      <c r="G96" s="2871" t="n"/>
      <c r="H96" s="2871" t="n"/>
      <c r="I96" s="2871" t="n"/>
      <c r="J96" s="2871" t="n"/>
      <c r="K96" s="2886" t="n"/>
      <c r="L96" s="2886" t="n"/>
      <c r="M96" s="2868" t="n"/>
      <c r="N96" s="2872" t="n"/>
      <c r="O96" s="2871" t="n"/>
      <c r="P96" s="2871" t="n"/>
      <c r="Q96" s="2871" t="n"/>
      <c r="R96" s="2871" t="n"/>
      <c r="S96" s="2871" t="n"/>
      <c r="T96" s="2871" t="n"/>
      <c r="U96" s="2871" t="n"/>
      <c r="W96" s="2862">
        <f>SUM(C96:H96)</f>
        <v/>
      </c>
      <c r="X96" s="2862">
        <f>SUM(I96:J96)</f>
        <v/>
      </c>
    </row>
    <row r="97" ht="13.5" customHeight="1" s="2828" thickBot="1">
      <c r="A97" s="972" t="inlineStr">
        <is>
          <t>II.E. Derivative financial instruments</t>
        </is>
      </c>
      <c r="B97" s="2867">
        <f>SUM(C97:L97)</f>
        <v/>
      </c>
      <c r="C97" s="2871" t="n"/>
      <c r="D97" s="2871" t="n"/>
      <c r="E97" s="2871" t="n"/>
      <c r="F97" s="2871" t="n"/>
      <c r="G97" s="2871" t="n"/>
      <c r="H97" s="2871" t="n"/>
      <c r="I97" s="2871" t="n"/>
      <c r="J97" s="2871" t="n"/>
      <c r="K97" s="2871" t="n"/>
      <c r="L97" s="2871" t="n"/>
      <c r="M97" s="2859" t="n"/>
      <c r="N97" s="2872" t="n"/>
      <c r="O97" s="2871" t="n"/>
      <c r="P97" s="2871" t="n"/>
      <c r="Q97" s="2871" t="n"/>
      <c r="R97" s="2871" t="n"/>
      <c r="S97" s="2871" t="n"/>
      <c r="T97" s="2871" t="n"/>
      <c r="U97" s="2871" t="n"/>
      <c r="W97" s="2862">
        <f>SUM(C97:H97)</f>
        <v/>
      </c>
      <c r="X97" s="2862">
        <f>SUM(I97:J97)</f>
        <v/>
      </c>
    </row>
    <row r="98" ht="13.5" customHeight="1" s="2828" thickBot="1">
      <c r="A98" s="972" t="inlineStr">
        <is>
          <t>II.F. Repurchase agreements</t>
        </is>
      </c>
      <c r="B98" s="2867">
        <f>SUM(C98:L98)</f>
        <v/>
      </c>
      <c r="C98" s="2871" t="n"/>
      <c r="D98" s="2871" t="n"/>
      <c r="E98" s="2871" t="n"/>
      <c r="F98" s="2871" t="n"/>
      <c r="G98" s="2871" t="n"/>
      <c r="H98" s="2871" t="n"/>
      <c r="I98" s="2871" t="n"/>
      <c r="J98" s="2871" t="n"/>
      <c r="K98" s="2871" t="n"/>
      <c r="L98" s="2871" t="n"/>
      <c r="M98" s="2859" t="n"/>
      <c r="N98" s="2872" t="n"/>
      <c r="O98" s="2871" t="n"/>
      <c r="P98" s="2871" t="n"/>
      <c r="Q98" s="2871" t="n"/>
      <c r="R98" s="2871" t="n"/>
      <c r="S98" s="2871" t="n"/>
      <c r="T98" s="2871" t="n"/>
      <c r="U98" s="2871" t="n"/>
      <c r="W98" s="2862">
        <f>SUM(C98:H98)</f>
        <v/>
      </c>
      <c r="X98" s="2862">
        <f>SUM(I98:J98)</f>
        <v/>
      </c>
    </row>
    <row r="99" ht="13.5" customHeight="1" s="2828" thickBot="1">
      <c r="A99" s="972" t="inlineStr">
        <is>
          <t>II.G. Total other liabilities</t>
        </is>
      </c>
      <c r="B99" s="2863" t="n">
        <v>2200</v>
      </c>
      <c r="C99" s="2863">
        <f>SUM(C100:C102,C105,C111:C116)</f>
        <v/>
      </c>
      <c r="D99" s="2863">
        <f>SUM(D100:D102,D105,D111:D116)</f>
        <v/>
      </c>
      <c r="E99" s="2863">
        <f>SUM(E100:E102,E105,E111:E116)</f>
        <v/>
      </c>
      <c r="F99" s="2863">
        <f>SUM(F100:F102,F105,F111:F116)</f>
        <v/>
      </c>
      <c r="G99" s="2863">
        <f>SUM(G100:G102,G105,G111:G116)</f>
        <v/>
      </c>
      <c r="H99" s="2863">
        <f>SUM(H100:H102,H105,H111:H116)</f>
        <v/>
      </c>
      <c r="I99" s="2863">
        <f>SUM(I100:I102,I105,I111:I116)</f>
        <v/>
      </c>
      <c r="J99" s="2863">
        <f>SUM(J100:J102,J105,J111:J116)</f>
        <v/>
      </c>
      <c r="K99" s="2863">
        <f>SUM(K100:K102,K105,K111:K116)</f>
        <v/>
      </c>
      <c r="L99" s="2863">
        <f>SUM(L100:L102,L105,L111:L116)</f>
        <v/>
      </c>
      <c r="M99" s="2859" t="n"/>
      <c r="N99" s="2862">
        <f>SUM(N100:N102,N105,N111:N116)</f>
        <v/>
      </c>
      <c r="O99" s="2864" t="n"/>
      <c r="P99" s="2863">
        <f>SUM(P100:P102,P105,P111:P116)</f>
        <v/>
      </c>
      <c r="Q99" s="2864" t="n"/>
      <c r="R99" s="2863">
        <f>SUM(R100:R102,R105,R111:R116)</f>
        <v/>
      </c>
      <c r="S99" s="2864" t="n"/>
      <c r="T99" s="2863">
        <f>SUM(T100:T102,T105,T111:T116)</f>
        <v/>
      </c>
      <c r="U99" s="2864" t="n"/>
      <c r="W99" s="2862">
        <f>SUM(C99:H99)</f>
        <v/>
      </c>
      <c r="X99" s="2862">
        <f>SUM(I99:J99)</f>
        <v/>
      </c>
    </row>
    <row r="100" ht="26.25" customHeight="1" s="2828" thickBot="1">
      <c r="A100" s="974" t="inlineStr">
        <is>
          <t>II.G1. Interest-bearing financial liabilities issued (non-bank)</t>
        </is>
      </c>
      <c r="B100" s="2867">
        <f>SUM(C100:L100)</f>
        <v/>
      </c>
      <c r="C100" s="2864" t="n"/>
      <c r="D100" s="2864" t="n"/>
      <c r="E100" s="2864" t="n"/>
      <c r="F100" s="2864" t="n"/>
      <c r="G100" s="2864" t="n"/>
      <c r="H100" s="2864" t="n"/>
      <c r="I100" s="2864" t="n"/>
      <c r="J100" s="2864" t="n"/>
      <c r="K100" s="2864" t="n"/>
      <c r="L100" s="2864" t="n"/>
      <c r="M100" s="2868" t="n"/>
      <c r="N100" s="2869" t="n"/>
      <c r="O100" s="2886" t="n"/>
      <c r="P100" s="2864" t="n"/>
      <c r="Q100" s="2886" t="n"/>
      <c r="R100" s="2864" t="n"/>
      <c r="S100" s="2886" t="n"/>
      <c r="T100" s="2864" t="n"/>
      <c r="U100" s="2886" t="n"/>
      <c r="W100" s="2862">
        <f>SUM(C100:H100)</f>
        <v/>
      </c>
      <c r="X100" s="2862">
        <f>SUM(I100:J100)</f>
        <v/>
      </c>
    </row>
    <row r="101" ht="13.5" customHeight="1" s="2828" thickBot="1">
      <c r="A101" s="974" t="inlineStr">
        <is>
          <t>II.G2. Bank borrowings</t>
        </is>
      </c>
      <c r="B101" s="2867">
        <f>SUM(C101:L101)</f>
        <v/>
      </c>
      <c r="C101" s="2864" t="n"/>
      <c r="D101" s="2864" t="n"/>
      <c r="E101" s="2864" t="n"/>
      <c r="F101" s="2864" t="n"/>
      <c r="G101" s="2864" t="n"/>
      <c r="H101" s="2864" t="n"/>
      <c r="I101" s="2864" t="n"/>
      <c r="J101" s="2864" t="n"/>
      <c r="K101" s="2864" t="n"/>
      <c r="L101" s="2864" t="n"/>
      <c r="M101" s="2868" t="n"/>
      <c r="N101" s="2869" t="n"/>
      <c r="O101" s="2886" t="n"/>
      <c r="P101" s="2864" t="n"/>
      <c r="Q101" s="2886" t="n"/>
      <c r="R101" s="2864" t="n"/>
      <c r="S101" s="2886" t="n"/>
      <c r="T101" s="2864" t="n"/>
      <c r="U101" s="2886" t="n"/>
      <c r="W101" s="2862">
        <f>SUM(C101:H101)</f>
        <v/>
      </c>
      <c r="X101" s="2862">
        <f>SUM(I101:J101)</f>
        <v/>
      </c>
    </row>
    <row r="102" ht="13.5" customHeight="1" s="2828" thickBot="1">
      <c r="A102" s="974" t="inlineStr">
        <is>
          <t>II.G3. Subordinated liabilities</t>
        </is>
      </c>
      <c r="B102" s="2863">
        <f>SUM(B103:B104)</f>
        <v/>
      </c>
      <c r="C102" s="2863">
        <f>SUM(C103:C104)</f>
        <v/>
      </c>
      <c r="D102" s="2863">
        <f>SUM(D103:D104)</f>
        <v/>
      </c>
      <c r="E102" s="2863">
        <f>SUM(E103:E104)</f>
        <v/>
      </c>
      <c r="F102" s="2863">
        <f>SUM(F103:F104)</f>
        <v/>
      </c>
      <c r="G102" s="2863">
        <f>SUM(G103:G104)</f>
        <v/>
      </c>
      <c r="H102" s="2863">
        <f>SUM(H103:H104)</f>
        <v/>
      </c>
      <c r="I102" s="2863">
        <f>SUM(I103:I104)</f>
        <v/>
      </c>
      <c r="J102" s="2863">
        <f>SUM(J103:J104)</f>
        <v/>
      </c>
      <c r="K102" s="2863">
        <f>SUM(K103:K104)</f>
        <v/>
      </c>
      <c r="L102" s="2863">
        <f>SUM(L103:L104)</f>
        <v/>
      </c>
      <c r="M102" s="2859" t="n"/>
      <c r="N102" s="2862">
        <f>SUM(N103:N104)</f>
        <v/>
      </c>
      <c r="O102" s="2886" t="n"/>
      <c r="P102" s="2863">
        <f>SUM(P103:P104)</f>
        <v/>
      </c>
      <c r="Q102" s="2886" t="n"/>
      <c r="R102" s="2863">
        <f>SUM(R103:R104)</f>
        <v/>
      </c>
      <c r="S102" s="2886" t="n"/>
      <c r="T102" s="2863">
        <f>SUM(T103:T104)</f>
        <v/>
      </c>
      <c r="U102" s="2886" t="n"/>
      <c r="W102" s="2862">
        <f>SUM(C102:H102)</f>
        <v/>
      </c>
      <c r="X102" s="2862">
        <f>SUM(I102:J102)</f>
        <v/>
      </c>
    </row>
    <row r="103" ht="26.25" customHeight="1" s="2828" thickBot="1">
      <c r="A103" s="986" t="inlineStr">
        <is>
          <t>II.G3a. Subordinated liabilities not in Eligible Capital Resources</t>
        </is>
      </c>
      <c r="B103" s="2867">
        <f>SUM(C103:L103)</f>
        <v/>
      </c>
      <c r="C103" s="2864" t="n"/>
      <c r="D103" s="2864" t="n"/>
      <c r="E103" s="2864" t="n"/>
      <c r="F103" s="2864" t="n"/>
      <c r="G103" s="2864" t="n"/>
      <c r="H103" s="2864" t="n"/>
      <c r="I103" s="2864" t="n"/>
      <c r="J103" s="2864" t="n"/>
      <c r="K103" s="2864" t="n"/>
      <c r="L103" s="2864" t="n"/>
      <c r="M103" s="2868" t="n"/>
      <c r="N103" s="2869" t="n"/>
      <c r="O103" s="2886" t="n"/>
      <c r="P103" s="2864" t="n"/>
      <c r="Q103" s="2886" t="n"/>
      <c r="R103" s="2864" t="n"/>
      <c r="S103" s="2886" t="n"/>
      <c r="T103" s="2864" t="n"/>
      <c r="U103" s="2886" t="n"/>
      <c r="W103" s="2862">
        <f>SUM(C103:H103)</f>
        <v/>
      </c>
      <c r="X103" s="2862">
        <f>SUM(I103:J103)</f>
        <v/>
      </c>
    </row>
    <row r="104" ht="26.25" customHeight="1" s="2828" thickBot="1">
      <c r="A104" s="986" t="inlineStr">
        <is>
          <t>II.G3b. Subordinated liabilities in Eligible Capital Resources</t>
        </is>
      </c>
      <c r="B104" s="2867">
        <f>SUM(C104:L104)</f>
        <v/>
      </c>
      <c r="C104" s="2864" t="n"/>
      <c r="D104" s="2864" t="n"/>
      <c r="E104" s="2864" t="n"/>
      <c r="F104" s="2864" t="n"/>
      <c r="G104" s="2864" t="n"/>
      <c r="H104" s="2864" t="n"/>
      <c r="I104" s="2864" t="n"/>
      <c r="J104" s="2864" t="n"/>
      <c r="K104" s="2864" t="n"/>
      <c r="L104" s="2864" t="n"/>
      <c r="M104" s="2868" t="n"/>
      <c r="N104" s="2869" t="n"/>
      <c r="O104" s="2886" t="n"/>
      <c r="P104" s="2864" t="n"/>
      <c r="Q104" s="2886" t="n"/>
      <c r="R104" s="2864" t="n"/>
      <c r="S104" s="2886" t="n"/>
      <c r="T104" s="2864" t="n"/>
      <c r="U104" s="2886" t="n"/>
      <c r="W104" s="2862">
        <f>SUM(C104:H104)</f>
        <v/>
      </c>
      <c r="X104" s="2862">
        <f>SUM(I104:J104)</f>
        <v/>
      </c>
    </row>
    <row r="105" ht="13.5" customHeight="1" s="2828" thickBot="1">
      <c r="A105" s="980" t="inlineStr">
        <is>
          <t>II.G4. Borrowings with / amount due to related parties</t>
        </is>
      </c>
      <c r="B105" s="2863" t="n">
        <v>1450</v>
      </c>
      <c r="C105" s="2863">
        <f>SUM(C106:C110)</f>
        <v/>
      </c>
      <c r="D105" s="2863">
        <f>SUM(D106:D110)</f>
        <v/>
      </c>
      <c r="E105" s="2863">
        <f>SUM(E106:E110)</f>
        <v/>
      </c>
      <c r="F105" s="2863">
        <f>SUM(F106:F110)</f>
        <v/>
      </c>
      <c r="G105" s="2863">
        <f>SUM(G106:G110)</f>
        <v/>
      </c>
      <c r="H105" s="2863">
        <f>SUM(H106:H110)</f>
        <v/>
      </c>
      <c r="I105" s="2863">
        <f>SUM(I106:I110)</f>
        <v/>
      </c>
      <c r="J105" s="2863">
        <f>SUM(J106:J110)</f>
        <v/>
      </c>
      <c r="K105" s="2863">
        <f>SUM(K106:K110)</f>
        <v/>
      </c>
      <c r="L105" s="2863">
        <f>SUM(L106:L110)</f>
        <v/>
      </c>
      <c r="M105" s="2859" t="n"/>
      <c r="N105" s="2862">
        <f>SUM(N106:N110)</f>
        <v/>
      </c>
      <c r="O105" s="2886" t="n"/>
      <c r="P105" s="2863">
        <f>SUM(P106:P110)</f>
        <v/>
      </c>
      <c r="Q105" s="2886" t="n"/>
      <c r="R105" s="2863">
        <f>SUM(R106:R110)</f>
        <v/>
      </c>
      <c r="S105" s="2886" t="n"/>
      <c r="T105" s="2863">
        <f>SUM(T106:T110)</f>
        <v/>
      </c>
      <c r="U105" s="2886" t="n"/>
      <c r="W105" s="2862">
        <f>SUM(C105:H105)</f>
        <v/>
      </c>
      <c r="X105" s="2862">
        <f>SUM(I105:J105)</f>
        <v/>
      </c>
    </row>
    <row r="106" ht="13.5" customHeight="1" s="2828" thickBot="1">
      <c r="A106" s="982" t="inlineStr">
        <is>
          <t xml:space="preserve">II.G4a. Of which: affiliates / associates </t>
        </is>
      </c>
      <c r="B106" s="2867">
        <f>SUM(C106:L106)</f>
        <v/>
      </c>
      <c r="C106" s="2871" t="n"/>
      <c r="D106" s="2871" t="n"/>
      <c r="E106" s="2871" t="n"/>
      <c r="F106" s="2871" t="n"/>
      <c r="G106" s="2871" t="n"/>
      <c r="H106" s="2871" t="n"/>
      <c r="I106" s="2871" t="n"/>
      <c r="J106" s="2871" t="n"/>
      <c r="K106" s="2871" t="n"/>
      <c r="L106" s="2871" t="n"/>
      <c r="M106" s="2859" t="n"/>
      <c r="N106" s="2872" t="n"/>
      <c r="O106" s="2886" t="n"/>
      <c r="P106" s="2871" t="n"/>
      <c r="Q106" s="2886" t="n"/>
      <c r="R106" s="2871" t="n"/>
      <c r="S106" s="2886" t="n"/>
      <c r="T106" s="2871" t="n"/>
      <c r="U106" s="2886" t="n"/>
      <c r="W106" s="2862">
        <f>SUM(C106:H106)</f>
        <v/>
      </c>
      <c r="X106" s="2862">
        <f>SUM(I106:J106)</f>
        <v/>
      </c>
    </row>
    <row r="107" ht="13.5" customHeight="1" s="2828" thickBot="1">
      <c r="A107" s="982" t="inlineStr">
        <is>
          <t>II.G4b. Of which: subsidiaries</t>
        </is>
      </c>
      <c r="B107" s="2867">
        <f>SUM(C107:L107)</f>
        <v/>
      </c>
      <c r="C107" s="2871" t="n"/>
      <c r="D107" s="2871" t="n"/>
      <c r="E107" s="2871" t="n"/>
      <c r="F107" s="2871" t="n"/>
      <c r="G107" s="2871" t="n"/>
      <c r="H107" s="2871" t="n"/>
      <c r="I107" s="2871" t="n"/>
      <c r="J107" s="2871" t="n"/>
      <c r="K107" s="2871" t="n"/>
      <c r="L107" s="2871" t="n"/>
      <c r="M107" s="2859" t="n"/>
      <c r="N107" s="2872" t="n"/>
      <c r="O107" s="2886" t="n"/>
      <c r="P107" s="2871" t="n"/>
      <c r="Q107" s="2886" t="n"/>
      <c r="R107" s="2871" t="n"/>
      <c r="S107" s="2886" t="n"/>
      <c r="T107" s="2871" t="n"/>
      <c r="U107" s="2886" t="n"/>
      <c r="W107" s="2862">
        <f>SUM(C107:H107)</f>
        <v/>
      </c>
      <c r="X107" s="2862">
        <f>SUM(I107:J107)</f>
        <v/>
      </c>
    </row>
    <row r="108" ht="13.5" customHeight="1" s="2828" thickBot="1">
      <c r="A108" s="982" t="inlineStr">
        <is>
          <t>II.G4c. Of which: fellow subsidiaries</t>
        </is>
      </c>
      <c r="B108" s="2867" t="n">
        <v>1450</v>
      </c>
      <c r="C108" s="2871" t="n"/>
      <c r="D108" s="2871" t="n"/>
      <c r="E108" s="2871" t="n"/>
      <c r="F108" s="2871" t="n"/>
      <c r="G108" s="2871" t="n"/>
      <c r="H108" s="2871" t="n"/>
      <c r="I108" s="2871" t="n"/>
      <c r="J108" s="2871" t="n"/>
      <c r="K108" s="2871" t="n"/>
      <c r="L108" s="2871" t="n"/>
      <c r="M108" s="2859" t="n"/>
      <c r="N108" s="2872" t="n"/>
      <c r="O108" s="2886" t="n"/>
      <c r="P108" s="2871" t="n"/>
      <c r="Q108" s="2886" t="n"/>
      <c r="R108" s="2871" t="n"/>
      <c r="S108" s="2886" t="n"/>
      <c r="T108" s="2871" t="n"/>
      <c r="U108" s="2886" t="n"/>
      <c r="W108" s="2862">
        <f>SUM(C108:H108)</f>
        <v/>
      </c>
      <c r="X108" s="2862">
        <f>SUM(I108:J108)</f>
        <v/>
      </c>
    </row>
    <row r="109" ht="13.5" customHeight="1" s="2828" thickBot="1">
      <c r="A109" s="982" t="inlineStr">
        <is>
          <t>II.G4d. Of which: Holding company</t>
        </is>
      </c>
      <c r="B109" s="2867">
        <f>SUM(C109:L109)</f>
        <v/>
      </c>
      <c r="C109" s="2871" t="n"/>
      <c r="D109" s="2871" t="n"/>
      <c r="E109" s="2871" t="n"/>
      <c r="F109" s="2871" t="n"/>
      <c r="G109" s="2871" t="n"/>
      <c r="H109" s="2871" t="n"/>
      <c r="I109" s="2871" t="n"/>
      <c r="J109" s="2871" t="n"/>
      <c r="K109" s="2871" t="n"/>
      <c r="L109" s="2871" t="n"/>
      <c r="M109" s="2859" t="n"/>
      <c r="N109" s="2872" t="n"/>
      <c r="O109" s="2886" t="n"/>
      <c r="P109" s="2872" t="n"/>
      <c r="Q109" s="2886" t="n"/>
      <c r="R109" s="2872" t="n"/>
      <c r="S109" s="2886" t="n"/>
      <c r="T109" s="2872" t="n"/>
      <c r="U109" s="2886" t="n"/>
      <c r="W109" s="2862">
        <f>SUM(C109:H109)</f>
        <v/>
      </c>
      <c r="X109" s="2862">
        <f>SUM(I109:J109)</f>
        <v/>
      </c>
    </row>
    <row r="110" ht="13.5" customHeight="1" s="2828" thickBot="1">
      <c r="A110" s="982" t="inlineStr">
        <is>
          <t>II.G4e. Of which: Head Office</t>
        </is>
      </c>
      <c r="B110" s="2867">
        <f>SUM(C110:L110)</f>
        <v/>
      </c>
      <c r="C110" s="2871" t="n"/>
      <c r="D110" s="2871" t="n"/>
      <c r="E110" s="2871" t="n"/>
      <c r="F110" s="2871" t="n"/>
      <c r="G110" s="2871" t="n"/>
      <c r="H110" s="2871" t="n"/>
      <c r="I110" s="2871" t="n"/>
      <c r="J110" s="2871" t="n"/>
      <c r="K110" s="2871" t="n"/>
      <c r="L110" s="2871" t="n"/>
      <c r="M110" s="2859" t="n"/>
      <c r="N110" s="2872" t="n"/>
      <c r="O110" s="2886" t="n"/>
      <c r="P110" s="2872" t="n"/>
      <c r="Q110" s="2886" t="n"/>
      <c r="R110" s="2872" t="n"/>
      <c r="S110" s="2886" t="n"/>
      <c r="T110" s="2872" t="n"/>
      <c r="U110" s="2886" t="n"/>
      <c r="W110" s="2862">
        <f>SUM(C110:H110)</f>
        <v/>
      </c>
      <c r="X110" s="2862">
        <f>SUM(I110:J110)</f>
        <v/>
      </c>
    </row>
    <row r="111" ht="13.5" customHeight="1" s="2828" thickBot="1">
      <c r="A111" s="980" t="inlineStr">
        <is>
          <t>II.G5. Other borrowings</t>
        </is>
      </c>
      <c r="B111" s="2867">
        <f>SUM(C111:L111)</f>
        <v/>
      </c>
      <c r="C111" s="2864" t="n"/>
      <c r="D111" s="2864" t="n"/>
      <c r="E111" s="2864" t="n"/>
      <c r="F111" s="2864" t="n"/>
      <c r="G111" s="2864" t="n"/>
      <c r="H111" s="2864" t="n"/>
      <c r="I111" s="2864" t="n"/>
      <c r="J111" s="2864" t="n"/>
      <c r="K111" s="2864" t="n"/>
      <c r="L111" s="2864" t="n"/>
      <c r="M111" s="2868" t="n"/>
      <c r="N111" s="2872" t="n"/>
      <c r="O111" s="2886" t="n"/>
      <c r="P111" s="2872" t="n"/>
      <c r="Q111" s="2886" t="n"/>
      <c r="R111" s="2872" t="n"/>
      <c r="S111" s="2886" t="n"/>
      <c r="T111" s="2872" t="n"/>
      <c r="U111" s="2886" t="n"/>
      <c r="W111" s="2862">
        <f>SUM(C111:H111)</f>
        <v/>
      </c>
      <c r="X111" s="2862">
        <f>SUM(I111:J111)</f>
        <v/>
      </c>
    </row>
    <row r="112" ht="13.5" customHeight="1" s="2828" thickBot="1">
      <c r="A112" s="980" t="inlineStr">
        <is>
          <t>II.G6. Current tax liabilities</t>
        </is>
      </c>
      <c r="B112" s="2867" t="n">
        <v>280</v>
      </c>
      <c r="C112" s="2871" t="n"/>
      <c r="D112" s="2871" t="n"/>
      <c r="E112" s="2871" t="n"/>
      <c r="F112" s="2871" t="n"/>
      <c r="G112" s="2871" t="n"/>
      <c r="H112" s="2871" t="n"/>
      <c r="I112" s="2871" t="n"/>
      <c r="J112" s="2871" t="n"/>
      <c r="K112" s="2864" t="n"/>
      <c r="L112" s="2864" t="n"/>
      <c r="M112" s="2868" t="n"/>
      <c r="N112" s="2872" t="n"/>
      <c r="O112" s="2886" t="n"/>
      <c r="P112" s="2872" t="n"/>
      <c r="Q112" s="2886" t="n"/>
      <c r="R112" s="2872" t="n"/>
      <c r="S112" s="2886" t="n"/>
      <c r="T112" s="2872" t="n"/>
      <c r="U112" s="2886" t="n"/>
      <c r="W112" s="2862">
        <f>SUM(C112:H112)</f>
        <v/>
      </c>
      <c r="X112" s="2862">
        <f>SUM(I112:J112)</f>
        <v/>
      </c>
    </row>
    <row r="113" ht="13.5" customHeight="1" s="2828" thickBot="1">
      <c r="A113" s="980" t="inlineStr">
        <is>
          <t>II.G7. Deferred tax liabilities</t>
        </is>
      </c>
      <c r="B113" s="2867" t="n">
        <v>380</v>
      </c>
      <c r="C113" s="2871" t="n"/>
      <c r="D113" s="2871" t="n"/>
      <c r="E113" s="2871" t="n"/>
      <c r="F113" s="2871" t="n"/>
      <c r="G113" s="2871" t="n"/>
      <c r="H113" s="2871" t="n"/>
      <c r="I113" s="2871" t="n"/>
      <c r="J113" s="2871" t="n"/>
      <c r="K113" s="2864" t="n"/>
      <c r="L113" s="2864" t="n"/>
      <c r="M113" s="2868" t="n"/>
      <c r="N113" s="2872" t="n"/>
      <c r="O113" s="2886" t="n"/>
      <c r="P113" s="2872" t="n"/>
      <c r="Q113" s="2886" t="n"/>
      <c r="R113" s="2872" t="n"/>
      <c r="S113" s="2886" t="n"/>
      <c r="T113" s="2872" t="n"/>
      <c r="U113" s="2886" t="n"/>
      <c r="W113" s="2862">
        <f>SUM(C113:H113)</f>
        <v/>
      </c>
      <c r="X113" s="2862">
        <f>SUM(I113:J113)</f>
        <v/>
      </c>
    </row>
    <row r="114" ht="13.5" customHeight="1" s="2828" thickBot="1">
      <c r="A114" s="980" t="inlineStr">
        <is>
          <t>II.G8. Pension benefit obligations</t>
        </is>
      </c>
      <c r="B114" s="2867">
        <f>SUM(C114:L114)</f>
        <v/>
      </c>
      <c r="C114" s="2871" t="n"/>
      <c r="D114" s="2871" t="n"/>
      <c r="E114" s="2871" t="n"/>
      <c r="F114" s="2871" t="n"/>
      <c r="G114" s="2871" t="n"/>
      <c r="H114" s="2871" t="n"/>
      <c r="I114" s="2871" t="n"/>
      <c r="J114" s="2871" t="n"/>
      <c r="K114" s="2864" t="n"/>
      <c r="L114" s="2864" t="n"/>
      <c r="M114" s="2868" t="n"/>
      <c r="N114" s="2872" t="n"/>
      <c r="O114" s="2886" t="n"/>
      <c r="P114" s="2872" t="n"/>
      <c r="Q114" s="2886" t="n"/>
      <c r="R114" s="2872" t="n"/>
      <c r="S114" s="2886" t="n"/>
      <c r="T114" s="2872" t="n"/>
      <c r="U114" s="2886" t="n"/>
      <c r="W114" s="2862">
        <f>SUM(C114:H114)</f>
        <v/>
      </c>
      <c r="X114" s="2862">
        <f>SUM(I114:J114)</f>
        <v/>
      </c>
    </row>
    <row r="115" ht="13.5" customHeight="1" s="2828" thickBot="1">
      <c r="A115" s="980" t="inlineStr">
        <is>
          <t>II.G9. Lease liabilities</t>
        </is>
      </c>
      <c r="B115" s="2867">
        <f>SUM(C115:L115)</f>
        <v/>
      </c>
      <c r="C115" s="2871" t="n"/>
      <c r="D115" s="2871" t="n"/>
      <c r="E115" s="2871" t="n"/>
      <c r="F115" s="2871" t="n"/>
      <c r="G115" s="2871" t="n"/>
      <c r="H115" s="2871" t="n"/>
      <c r="I115" s="2871" t="n"/>
      <c r="J115" s="2871" t="n"/>
      <c r="K115" s="2864" t="n"/>
      <c r="L115" s="2864" t="n"/>
      <c r="M115" s="2868" t="n"/>
      <c r="N115" s="2872" t="n"/>
      <c r="O115" s="2886" t="n"/>
      <c r="P115" s="2872" t="n"/>
      <c r="Q115" s="2886" t="n"/>
      <c r="R115" s="2872" t="n"/>
      <c r="S115" s="2886" t="n"/>
      <c r="T115" s="2872" t="n"/>
      <c r="U115" s="2886" t="n"/>
      <c r="W115" s="2862">
        <f>SUM(C115:H115)</f>
        <v/>
      </c>
      <c r="X115" s="2862">
        <f>SUM(I115:J115)</f>
        <v/>
      </c>
    </row>
    <row r="116" ht="13.5" customHeight="1" s="2828" thickBot="1">
      <c r="A116" s="980" t="inlineStr">
        <is>
          <t>II.G10. Other provisions and liabilities</t>
        </is>
      </c>
      <c r="B116" s="2867" t="n">
        <v>90</v>
      </c>
      <c r="C116" s="2864" t="n"/>
      <c r="D116" s="2864" t="n"/>
      <c r="E116" s="2864" t="n"/>
      <c r="F116" s="2864" t="n"/>
      <c r="G116" s="2864" t="n"/>
      <c r="H116" s="2864" t="n"/>
      <c r="I116" s="2864" t="n"/>
      <c r="J116" s="2864" t="n"/>
      <c r="K116" s="2864" t="n"/>
      <c r="L116" s="2864" t="n"/>
      <c r="M116" s="2868" t="n"/>
      <c r="N116" s="2869" t="n"/>
      <c r="O116" s="2886" t="n"/>
      <c r="P116" s="2864" t="n"/>
      <c r="Q116" s="2886" t="n"/>
      <c r="R116" s="2864" t="n"/>
      <c r="S116" s="2886" t="n"/>
      <c r="T116" s="2864" t="n"/>
      <c r="U116" s="2886" t="n"/>
      <c r="W116" s="2862">
        <f>SUM(C116:H116)</f>
        <v/>
      </c>
      <c r="X116" s="2862">
        <f>SUM(I116:J116)</f>
        <v/>
      </c>
    </row>
    <row r="117" ht="13.5" customHeight="1" s="2828" thickBot="1">
      <c r="A117" s="2267" t="inlineStr">
        <is>
          <t>II.H. Amount due to Shareholder Fund</t>
        </is>
      </c>
      <c r="B117" s="2870" t="n"/>
      <c r="C117" s="2864" t="n"/>
      <c r="D117" s="2864" t="n"/>
      <c r="E117" s="2864" t="n"/>
      <c r="F117" s="2864" t="n"/>
      <c r="G117" s="2864" t="n"/>
      <c r="H117" s="2864" t="n"/>
      <c r="I117" s="2864" t="n"/>
      <c r="J117" s="2864" t="n"/>
      <c r="K117" s="2864" t="n"/>
      <c r="L117" s="2886" t="n"/>
      <c r="M117" s="2868" t="n"/>
      <c r="N117" s="2869" t="n"/>
      <c r="O117" s="2864" t="n"/>
      <c r="P117" s="2864" t="n"/>
      <c r="Q117" s="2864" t="n"/>
      <c r="R117" s="2864" t="n"/>
      <c r="S117" s="2864" t="n"/>
      <c r="T117" s="2864" t="n"/>
      <c r="U117" s="2864" t="n"/>
      <c r="W117" s="2862">
        <f>SUM(C117:H117)</f>
        <v/>
      </c>
      <c r="X117" s="2862">
        <f>SUM(I117:J117)</f>
        <v/>
      </c>
    </row>
    <row r="118" ht="13.5" customHeight="1" s="2828" thickBot="1">
      <c r="A118" s="2267" t="inlineStr">
        <is>
          <t>II.I. Amount due to other insurance funds</t>
        </is>
      </c>
      <c r="B118" s="2870" t="n"/>
      <c r="C118" s="2864" t="n"/>
      <c r="D118" s="2864" t="n"/>
      <c r="E118" s="2864" t="n"/>
      <c r="F118" s="2864" t="n"/>
      <c r="G118" s="2864" t="n"/>
      <c r="H118" s="2864" t="n"/>
      <c r="I118" s="2864" t="n"/>
      <c r="J118" s="2864" t="n"/>
      <c r="K118" s="2864" t="n"/>
      <c r="L118" s="2864" t="n"/>
      <c r="M118" s="2868" t="n"/>
      <c r="N118" s="2869" t="n"/>
      <c r="O118" s="2864" t="n"/>
      <c r="P118" s="2864" t="n"/>
      <c r="Q118" s="2864" t="n"/>
      <c r="R118" s="2864" t="n"/>
      <c r="S118" s="2864" t="n"/>
      <c r="T118" s="2864" t="n"/>
      <c r="U118" s="2864" t="n"/>
      <c r="W118" s="2862">
        <f>SUM(C118:H118)</f>
        <v/>
      </c>
      <c r="X118" s="2862">
        <f>SUM(I118:J118)</f>
        <v/>
      </c>
    </row>
    <row r="119" ht="13.5" customHeight="1" s="2828" thickBot="1">
      <c r="A119" s="2267" t="inlineStr">
        <is>
          <t>II.J. Contingent liabilities (on regulatory basis)</t>
        </is>
      </c>
      <c r="B119" s="2867">
        <f>SUM(C119:L119)</f>
        <v/>
      </c>
      <c r="C119" s="2876" t="n"/>
      <c r="D119" s="2876" t="n"/>
      <c r="E119" s="2876" t="n"/>
      <c r="F119" s="2876" t="n"/>
      <c r="G119" s="2876" t="n"/>
      <c r="H119" s="2876" t="n"/>
      <c r="I119" s="2876" t="n"/>
      <c r="J119" s="2876" t="n"/>
      <c r="K119" s="2876" t="n"/>
      <c r="L119" s="2876" t="n"/>
      <c r="M119" s="2877" t="n"/>
      <c r="N119" s="2878" t="n"/>
      <c r="O119" s="2876" t="n"/>
      <c r="P119" s="2876" t="n"/>
      <c r="Q119" s="2876" t="n"/>
      <c r="R119" s="2876" t="n"/>
      <c r="S119" s="2876" t="n"/>
      <c r="T119" s="2876" t="n"/>
      <c r="U119" s="2876" t="n"/>
      <c r="W119" s="2862">
        <f>SUM(C119:H119)</f>
        <v/>
      </c>
      <c r="X119" s="2862">
        <f>SUM(I119:J119)</f>
        <v/>
      </c>
    </row>
    <row r="120" ht="13.5" customHeight="1" s="2828" thickBot="1">
      <c r="A120" s="2267" t="inlineStr">
        <is>
          <t>II.K. [Any other liabilities, not elsewhere shown]</t>
        </is>
      </c>
      <c r="B120" s="2867">
        <f>SUM(C120:L120)</f>
        <v/>
      </c>
      <c r="C120" s="2864" t="n"/>
      <c r="D120" s="2864" t="n"/>
      <c r="E120" s="2864" t="n"/>
      <c r="F120" s="2864" t="n"/>
      <c r="G120" s="2864" t="n"/>
      <c r="H120" s="2864" t="n"/>
      <c r="I120" s="2864" t="n"/>
      <c r="J120" s="2864" t="n"/>
      <c r="K120" s="2864" t="n"/>
      <c r="L120" s="2864" t="n"/>
      <c r="M120" s="2868" t="n"/>
      <c r="N120" s="2869" t="n"/>
      <c r="O120" s="2864" t="n"/>
      <c r="P120" s="2864" t="n"/>
      <c r="Q120" s="2864" t="n"/>
      <c r="R120" s="2864" t="n"/>
      <c r="S120" s="2864" t="n"/>
      <c r="T120" s="2864" t="n"/>
      <c r="U120" s="2864" t="n"/>
      <c r="W120" s="2862">
        <f>SUM(C120:H120)</f>
        <v/>
      </c>
      <c r="X120" s="2862">
        <f>SUM(I120:J120)</f>
        <v/>
      </c>
    </row>
    <row r="121" ht="13.5" customHeight="1" s="2828" thickBot="1">
      <c r="A121" s="981" t="n"/>
      <c r="B121" s="2883" t="n"/>
      <c r="C121" s="2883" t="n"/>
      <c r="D121" s="2883" t="n"/>
      <c r="E121" s="2883" t="n"/>
      <c r="F121" s="2883" t="n"/>
      <c r="G121" s="2883" t="n"/>
      <c r="H121" s="2883" t="n"/>
      <c r="I121" s="2883" t="n"/>
      <c r="J121" s="2883" t="n"/>
      <c r="K121" s="2883" t="n"/>
      <c r="L121" s="2883" t="n"/>
      <c r="M121" s="2884" t="n"/>
      <c r="N121" s="2885" t="n"/>
      <c r="O121" s="2883" t="n"/>
      <c r="P121" s="2883" t="n"/>
      <c r="Q121" s="2883" t="n"/>
      <c r="R121" s="2883" t="n"/>
      <c r="S121" s="2883" t="n"/>
      <c r="T121" s="2883" t="n"/>
      <c r="U121" s="2883" t="n"/>
      <c r="W121" s="2885" t="n"/>
      <c r="X121" s="2885" t="n"/>
    </row>
    <row r="122" ht="50.85" customHeight="1" s="2828" thickBot="1">
      <c r="A122" s="2267" t="inlineStr">
        <is>
          <t>II.L. Total liabilities (summation of items II.A. to II.K.)</t>
        </is>
      </c>
      <c r="B122" s="2863" t="n">
        <v>33200</v>
      </c>
      <c r="C122" s="2863">
        <f>SUM(C80,C95:C99,C117:C120)</f>
        <v/>
      </c>
      <c r="D122" s="2863">
        <f>SUM(D80,D95:D99,D117:D120)</f>
        <v/>
      </c>
      <c r="E122" s="2863">
        <f>SUM(E80,E95:E99,E117:E120)</f>
        <v/>
      </c>
      <c r="F122" s="2863">
        <f>SUM(F80,F95:F99,F117:F120)</f>
        <v/>
      </c>
      <c r="G122" s="2863">
        <f>SUM(G80,G95:G99,G117:G120)</f>
        <v/>
      </c>
      <c r="H122" s="2863">
        <f>SUM(H80,H95:H99,H117:H120)</f>
        <v/>
      </c>
      <c r="I122" s="2863">
        <f>SUM(I80,I95:I99,I117:I120)</f>
        <v/>
      </c>
      <c r="J122" s="2863">
        <f>SUM(J80,J95:J99,J117:J120)</f>
        <v/>
      </c>
      <c r="K122" s="2863">
        <f>SUM(K80,K95:K99,K117:K120)</f>
        <v/>
      </c>
      <c r="L122" s="2863">
        <f>SUM(L80,L95:L99,L117:L120)</f>
        <v/>
      </c>
      <c r="M122" s="2859" t="n"/>
      <c r="N122" s="2862">
        <f>SUM(N80,N95:N99,N117:N120)</f>
        <v/>
      </c>
      <c r="O122" s="2862">
        <f>SUM(O80,O95,O96:O99,O117:O120)</f>
        <v/>
      </c>
      <c r="P122" s="2863">
        <f>SUM(P80,P95:P99,P117:P120)</f>
        <v/>
      </c>
      <c r="Q122" s="2862">
        <f>SUM(Q80,Q95,Q96:Q99,Q117:Q120)</f>
        <v/>
      </c>
      <c r="R122" s="2863">
        <f>SUM(R80,R95:R99,R117:R120)</f>
        <v/>
      </c>
      <c r="S122" s="2862">
        <f>SUM(S80,S95,S96:S99,S117:S120)</f>
        <v/>
      </c>
      <c r="T122" s="2863">
        <f>SUM(T80,T95:T99,T117:T120)</f>
        <v/>
      </c>
      <c r="U122" s="2862">
        <f>SUM(U80,U95,U96:U99,U117:U120)</f>
        <v/>
      </c>
      <c r="W122" s="2862">
        <f>SUM(C122:H122)</f>
        <v/>
      </c>
      <c r="X122" s="2862">
        <f>SUM(I122:J122)</f>
        <v/>
      </c>
    </row>
    <row r="123" ht="13.5" customHeight="1" s="2828" thickBot="1">
      <c r="A123" s="2267" t="inlineStr">
        <is>
          <t>Net assets</t>
        </is>
      </c>
      <c r="B123" s="2863">
        <f>B77-B122</f>
        <v/>
      </c>
      <c r="C123" s="2863">
        <f>C77-C122</f>
        <v/>
      </c>
      <c r="D123" s="2863">
        <f>D77-D122</f>
        <v/>
      </c>
      <c r="E123" s="2863">
        <f>E77-E122</f>
        <v/>
      </c>
      <c r="F123" s="2863">
        <f>F77-F122</f>
        <v/>
      </c>
      <c r="G123" s="2863">
        <f>G77-G122</f>
        <v/>
      </c>
      <c r="H123" s="2863">
        <f>H77-H122</f>
        <v/>
      </c>
      <c r="I123" s="2863">
        <f>I77-I122</f>
        <v/>
      </c>
      <c r="J123" s="2863">
        <f>J77-J122</f>
        <v/>
      </c>
      <c r="K123" s="2863">
        <f>K77-K122</f>
        <v/>
      </c>
      <c r="L123" s="2863">
        <f>L77-L122</f>
        <v/>
      </c>
      <c r="M123" s="2859" t="n"/>
      <c r="N123" s="2862">
        <f>N77-N122</f>
        <v/>
      </c>
      <c r="O123" s="2862">
        <f>O77-O122</f>
        <v/>
      </c>
      <c r="P123" s="2863">
        <f>P77-P122</f>
        <v/>
      </c>
      <c r="Q123" s="2862">
        <f>Q77-Q122</f>
        <v/>
      </c>
      <c r="R123" s="2863">
        <f>R77-R122</f>
        <v/>
      </c>
      <c r="S123" s="2862">
        <f>S77-S122</f>
        <v/>
      </c>
      <c r="T123" s="2863">
        <f>T77-T122</f>
        <v/>
      </c>
      <c r="U123" s="2862">
        <f>U77-U122</f>
        <v/>
      </c>
      <c r="W123" s="2862">
        <f>SUM(C123:H123)</f>
        <v/>
      </c>
      <c r="X123" s="2862">
        <f>SUM(I123:J123)</f>
        <v/>
      </c>
    </row>
    <row r="124" ht="13.5" customFormat="1" customHeight="1" s="24" thickBot="1">
      <c r="A124" s="987" t="n"/>
      <c r="B124" s="2890" t="n"/>
      <c r="C124" s="2890" t="n"/>
      <c r="D124" s="2890" t="n"/>
      <c r="E124" s="2890" t="n"/>
      <c r="F124" s="2890" t="n"/>
      <c r="G124" s="2890" t="n"/>
      <c r="H124" s="2890" t="n"/>
      <c r="I124" s="2890" t="n"/>
      <c r="J124" s="2890" t="n"/>
      <c r="K124" s="2890" t="n"/>
      <c r="L124" s="2890" t="n"/>
      <c r="M124" s="2859" t="n"/>
      <c r="N124" s="2882" t="n"/>
      <c r="O124" s="2890" t="n"/>
      <c r="P124" s="2890" t="n"/>
      <c r="Q124" s="2890" t="n"/>
      <c r="R124" s="2890" t="n"/>
      <c r="S124" s="2890" t="n"/>
      <c r="T124" s="2890" t="n"/>
      <c r="U124" s="2890" t="n"/>
      <c r="V124" s="43" t="n"/>
      <c r="W124" s="2882" t="n"/>
      <c r="X124" s="2882" t="n"/>
    </row>
    <row r="125" ht="13.5" customHeight="1" s="2828" thickBot="1">
      <c r="A125" s="968" t="inlineStr">
        <is>
          <t>III – Equity</t>
        </is>
      </c>
      <c r="B125" s="2853" t="n"/>
      <c r="C125" s="2853" t="n"/>
      <c r="D125" s="2853" t="n"/>
      <c r="E125" s="2853" t="n"/>
      <c r="F125" s="2853" t="n"/>
      <c r="G125" s="2853" t="n"/>
      <c r="H125" s="2853" t="n"/>
      <c r="I125" s="2853" t="n"/>
      <c r="J125" s="2853" t="n"/>
      <c r="K125" s="2853" t="n"/>
      <c r="L125" s="2853" t="n"/>
      <c r="M125" s="2854" t="n"/>
      <c r="N125" s="2855" t="n"/>
      <c r="O125" s="2853" t="n"/>
      <c r="P125" s="2853" t="n"/>
      <c r="Q125" s="2853" t="n"/>
      <c r="R125" s="2853" t="n"/>
      <c r="S125" s="2853" t="n"/>
      <c r="T125" s="2853" t="n"/>
      <c r="U125" s="2853" t="n"/>
      <c r="W125" s="2855" t="n"/>
      <c r="X125" s="2855" t="n"/>
    </row>
    <row r="126" ht="13.5" customHeight="1" s="2828" thickBot="1">
      <c r="A126" s="988" t="inlineStr">
        <is>
          <t xml:space="preserve">III.A. Paid-up capital </t>
        </is>
      </c>
      <c r="B126" s="2863" t="n">
        <v>1300</v>
      </c>
      <c r="C126" s="2886" t="n"/>
      <c r="D126" s="2886" t="n"/>
      <c r="E126" s="2886" t="n"/>
      <c r="F126" s="2870" t="n"/>
      <c r="G126" s="2886" t="n"/>
      <c r="H126" s="2886" t="n"/>
      <c r="I126" s="2863">
        <f>SUM(I127:I128)</f>
        <v/>
      </c>
      <c r="J126" s="2863">
        <f>SUM(J127:J128)</f>
        <v/>
      </c>
      <c r="K126" s="2886" t="n"/>
      <c r="L126" s="2863">
        <f>SUM(L127:L128)</f>
        <v/>
      </c>
      <c r="M126" s="2868" t="n"/>
      <c r="N126" s="2891" t="n"/>
      <c r="O126" s="2886" t="n"/>
      <c r="P126" s="2892" t="n"/>
      <c r="Q126" s="2870" t="n"/>
      <c r="R126" s="2892" t="n"/>
      <c r="S126" s="2886" t="n"/>
      <c r="T126" s="2892" t="n"/>
      <c r="U126" s="2886" t="n"/>
      <c r="W126" s="2893" t="n"/>
      <c r="X126" s="2862">
        <f>SUM(I126:J126)</f>
        <v/>
      </c>
    </row>
    <row r="127" ht="13.5" customHeight="1" s="2828" thickBot="1">
      <c r="A127" s="982" t="inlineStr">
        <is>
          <t>III.A1. Ordinary shares</t>
        </is>
      </c>
      <c r="B127" s="2867" t="n">
        <v>1300</v>
      </c>
      <c r="C127" s="2886" t="n"/>
      <c r="D127" s="2886" t="n"/>
      <c r="E127" s="2886" t="n"/>
      <c r="F127" s="2870" t="n"/>
      <c r="G127" s="2886" t="n"/>
      <c r="H127" s="2886" t="n"/>
      <c r="I127" s="2864" t="n"/>
      <c r="J127" s="2864" t="n"/>
      <c r="K127" s="2886" t="n"/>
      <c r="L127" s="2864" t="n"/>
      <c r="M127" s="2868" t="n"/>
      <c r="N127" s="2893" t="n"/>
      <c r="O127" s="2886" t="n"/>
      <c r="P127" s="2886" t="n"/>
      <c r="Q127" s="2870" t="n"/>
      <c r="R127" s="2886" t="n"/>
      <c r="S127" s="2886" t="n"/>
      <c r="T127" s="2886" t="n"/>
      <c r="U127" s="2886" t="n"/>
      <c r="W127" s="2893" t="n"/>
      <c r="X127" s="2862">
        <f>SUM(I127:J127)</f>
        <v/>
      </c>
    </row>
    <row r="128" ht="13.5" customHeight="1" s="2828" thickBot="1">
      <c r="A128" s="982" t="inlineStr">
        <is>
          <t>III.A2. Preference shares</t>
        </is>
      </c>
      <c r="B128" s="2867">
        <f>SUM(C128:L128)</f>
        <v/>
      </c>
      <c r="C128" s="2886" t="n"/>
      <c r="D128" s="2886" t="n"/>
      <c r="E128" s="2886" t="n"/>
      <c r="F128" s="2870" t="n"/>
      <c r="G128" s="2886" t="n"/>
      <c r="H128" s="2886" t="n"/>
      <c r="I128" s="2864" t="n"/>
      <c r="J128" s="2864" t="n"/>
      <c r="K128" s="2886" t="n"/>
      <c r="L128" s="2864" t="n"/>
      <c r="M128" s="2868" t="n"/>
      <c r="N128" s="2893" t="n"/>
      <c r="O128" s="2886" t="n"/>
      <c r="P128" s="2886" t="n"/>
      <c r="Q128" s="2870" t="n"/>
      <c r="R128" s="2886" t="n"/>
      <c r="S128" s="2886" t="n"/>
      <c r="T128" s="2886" t="n"/>
      <c r="U128" s="2886" t="n"/>
      <c r="W128" s="2893" t="n"/>
      <c r="X128" s="2862">
        <f>SUM(I128:J128)</f>
        <v/>
      </c>
    </row>
    <row r="129" ht="13.5" customHeight="1" s="2828" thickBot="1">
      <c r="A129" s="988" t="inlineStr">
        <is>
          <t>III.B. Head Office account (for branch only)</t>
        </is>
      </c>
      <c r="B129" s="2867">
        <f>SUM(C129:L129)</f>
        <v/>
      </c>
      <c r="C129" s="2886" t="n"/>
      <c r="D129" s="2886" t="n"/>
      <c r="E129" s="2886" t="n"/>
      <c r="F129" s="2870" t="n"/>
      <c r="G129" s="2886" t="n"/>
      <c r="H129" s="2886" t="n"/>
      <c r="I129" s="2864" t="n"/>
      <c r="J129" s="2864" t="n"/>
      <c r="K129" s="2886" t="n"/>
      <c r="L129" s="2864" t="n"/>
      <c r="M129" s="2868" t="n"/>
      <c r="N129" s="2894" t="n"/>
      <c r="O129" s="2886" t="n"/>
      <c r="P129" s="2895" t="n"/>
      <c r="Q129" s="2870" t="n"/>
      <c r="R129" s="2895" t="n"/>
      <c r="S129" s="2886" t="n"/>
      <c r="T129" s="2895" t="n"/>
      <c r="U129" s="2886" t="n"/>
      <c r="W129" s="2893" t="n"/>
      <c r="X129" s="2862">
        <f>SUM(I129:J129)</f>
        <v/>
      </c>
    </row>
    <row r="130" ht="13.5" customHeight="1" s="2828" thickBot="1">
      <c r="A130" s="988" t="inlineStr">
        <is>
          <t>III.C. Statutory retained earnings</t>
        </is>
      </c>
      <c r="B130" s="2867" t="n">
        <v>9500</v>
      </c>
      <c r="C130" s="2864" t="n"/>
      <c r="D130" s="2864" t="n"/>
      <c r="E130" s="2864" t="n"/>
      <c r="F130" s="2864" t="n"/>
      <c r="G130" s="2864" t="n"/>
      <c r="H130" s="2864" t="n"/>
      <c r="I130" s="2864" t="n"/>
      <c r="J130" s="2864" t="n"/>
      <c r="K130" s="2864" t="n"/>
      <c r="L130" s="2864" t="n"/>
      <c r="M130" s="2868" t="n"/>
      <c r="N130" s="2869" t="n"/>
      <c r="O130" s="2886" t="n"/>
      <c r="P130" s="2864" t="n"/>
      <c r="Q130" s="2870" t="n"/>
      <c r="R130" s="2864" t="n"/>
      <c r="S130" s="2886" t="n"/>
      <c r="T130" s="2864" t="n"/>
      <c r="U130" s="2886" t="n"/>
      <c r="W130" s="2862">
        <f>SUM(C130:H130)</f>
        <v/>
      </c>
      <c r="X130" s="2862">
        <f>SUM(I130:J130)</f>
        <v/>
      </c>
    </row>
    <row r="131" ht="13.5" customHeight="1" s="2828" thickBot="1">
      <c r="A131" s="988" t="inlineStr">
        <is>
          <t>III.D. Other reserves</t>
        </is>
      </c>
      <c r="B131" s="2867" t="n">
        <v>1000</v>
      </c>
      <c r="C131" s="2864" t="n"/>
      <c r="D131" s="2864" t="n"/>
      <c r="E131" s="2864" t="n"/>
      <c r="F131" s="2864" t="n"/>
      <c r="G131" s="2864" t="n"/>
      <c r="H131" s="2864" t="n"/>
      <c r="I131" s="2864" t="n"/>
      <c r="J131" s="2864" t="n"/>
      <c r="K131" s="2864" t="n"/>
      <c r="L131" s="2864" t="n"/>
      <c r="M131" s="2868" t="n"/>
      <c r="N131" s="2869" t="n"/>
      <c r="O131" s="2886" t="n"/>
      <c r="P131" s="2864" t="n"/>
      <c r="Q131" s="2870" t="n"/>
      <c r="R131" s="2864" t="n"/>
      <c r="S131" s="2886" t="n"/>
      <c r="T131" s="2864" t="n"/>
      <c r="U131" s="2886" t="n"/>
      <c r="W131" s="2862">
        <f>SUM(C131:H131)</f>
        <v/>
      </c>
      <c r="X131" s="2862">
        <f>SUM(I131:J131)</f>
        <v/>
      </c>
    </row>
    <row r="132" ht="13.5" customHeight="1" s="2828" thickBot="1">
      <c r="A132" s="988" t="inlineStr">
        <is>
          <t>III.E. Contributed surplus</t>
        </is>
      </c>
      <c r="B132" s="2867">
        <f>SUM(C132:L132)</f>
        <v/>
      </c>
      <c r="C132" s="2864" t="n"/>
      <c r="D132" s="2864" t="n"/>
      <c r="E132" s="2864" t="n"/>
      <c r="F132" s="2864" t="n"/>
      <c r="G132" s="2864" t="n"/>
      <c r="H132" s="2864" t="n"/>
      <c r="I132" s="2864" t="n"/>
      <c r="J132" s="2864" t="n"/>
      <c r="K132" s="2864" t="n"/>
      <c r="L132" s="2864" t="n"/>
      <c r="M132" s="2868" t="n"/>
      <c r="N132" s="2896" t="n"/>
      <c r="O132" s="2886" t="n"/>
      <c r="P132" s="2864" t="n"/>
      <c r="Q132" s="2870" t="n"/>
      <c r="R132" s="2864" t="n"/>
      <c r="S132" s="2886" t="n"/>
      <c r="T132" s="2864" t="n"/>
      <c r="U132" s="2886" t="n"/>
      <c r="W132" s="2862">
        <f>SUM(C132:H132)</f>
        <v/>
      </c>
      <c r="X132" s="2862">
        <f>SUM(I132:J132)</f>
        <v/>
      </c>
    </row>
    <row r="133" ht="26.25" customHeight="1" s="2828" thickBot="1">
      <c r="A133" s="988" t="inlineStr">
        <is>
          <t>III.F. Any other equity items [not elsewhere shown, with breakdown in added rows]</t>
        </is>
      </c>
      <c r="B133" s="2867">
        <f>SUM(C133:L133)</f>
        <v/>
      </c>
      <c r="C133" s="2888">
        <f>SUM(C134:C136)</f>
        <v/>
      </c>
      <c r="D133" s="2888">
        <f>SUM(D134:D136)</f>
        <v/>
      </c>
      <c r="E133" s="2888">
        <f>SUM(E134:E136)</f>
        <v/>
      </c>
      <c r="F133" s="2888">
        <f>SUM(F134:F136)</f>
        <v/>
      </c>
      <c r="G133" s="2888">
        <f>SUM(G134:G136)</f>
        <v/>
      </c>
      <c r="H133" s="2888">
        <f>SUM(H134:H136)</f>
        <v/>
      </c>
      <c r="I133" s="2888">
        <f>SUM(I134:I136)</f>
        <v/>
      </c>
      <c r="J133" s="2888">
        <f>SUM(J134:J136)</f>
        <v/>
      </c>
      <c r="K133" s="2888">
        <f>SUM(K134:K136)</f>
        <v/>
      </c>
      <c r="L133" s="2888">
        <f>SUM(L134:L136)</f>
        <v/>
      </c>
      <c r="M133" s="2868" t="n"/>
      <c r="N133" s="2897">
        <f>SUM(N134:N136)</f>
        <v/>
      </c>
      <c r="O133" s="2886" t="n"/>
      <c r="P133" s="2888">
        <f>SUM(P134:P136)</f>
        <v/>
      </c>
      <c r="Q133" s="2870" t="n"/>
      <c r="R133" s="2888">
        <f>SUM(R134:R136)</f>
        <v/>
      </c>
      <c r="S133" s="2886" t="n"/>
      <c r="T133" s="2888">
        <f>SUM(T134:T136)</f>
        <v/>
      </c>
      <c r="U133" s="2886" t="n"/>
      <c r="W133" s="2862">
        <f>SUM(C133:H133)</f>
        <v/>
      </c>
      <c r="X133" s="2862">
        <f>SUM(I133:J133)</f>
        <v/>
      </c>
    </row>
    <row r="134" ht="13.5" customHeight="1" s="2828" thickBot="1">
      <c r="A134" s="77" t="n"/>
      <c r="B134" s="2867">
        <f>SUM(C134:L134)</f>
        <v/>
      </c>
      <c r="C134" s="2864" t="n"/>
      <c r="D134" s="2864" t="n"/>
      <c r="E134" s="2864" t="n"/>
      <c r="F134" s="2864" t="n"/>
      <c r="G134" s="2864" t="n"/>
      <c r="H134" s="2864" t="n"/>
      <c r="I134" s="2864" t="n"/>
      <c r="J134" s="2864" t="n"/>
      <c r="K134" s="2864" t="n"/>
      <c r="L134" s="2864" t="n"/>
      <c r="M134" s="2868" t="n"/>
      <c r="N134" s="2869" t="n"/>
      <c r="O134" s="2886" t="n"/>
      <c r="P134" s="2864" t="n"/>
      <c r="Q134" s="2870" t="n"/>
      <c r="R134" s="2864" t="n"/>
      <c r="S134" s="2886" t="n"/>
      <c r="T134" s="2864" t="n"/>
      <c r="U134" s="2886" t="n"/>
      <c r="W134" s="2862">
        <f>SUM(C134:H134)</f>
        <v/>
      </c>
      <c r="X134" s="2862">
        <f>SUM(I134:J134)</f>
        <v/>
      </c>
    </row>
    <row r="135" ht="13.5" customHeight="1" s="2828" thickBot="1">
      <c r="A135" s="77" t="n"/>
      <c r="B135" s="2867">
        <f>SUM(C135:L135)</f>
        <v/>
      </c>
      <c r="C135" s="2864" t="n"/>
      <c r="D135" s="2864" t="n"/>
      <c r="E135" s="2864" t="n"/>
      <c r="F135" s="2864" t="n"/>
      <c r="G135" s="2864" t="n"/>
      <c r="H135" s="2864" t="n"/>
      <c r="I135" s="2864" t="n"/>
      <c r="J135" s="2864" t="n"/>
      <c r="K135" s="2864" t="n"/>
      <c r="L135" s="2864" t="n"/>
      <c r="M135" s="2868" t="n"/>
      <c r="N135" s="2869" t="n"/>
      <c r="O135" s="2886" t="n"/>
      <c r="P135" s="2864" t="n"/>
      <c r="Q135" s="2870" t="n"/>
      <c r="R135" s="2864" t="n"/>
      <c r="S135" s="2886" t="n"/>
      <c r="T135" s="2864" t="n"/>
      <c r="U135" s="2886" t="n"/>
      <c r="W135" s="2862">
        <f>SUM(C135:H135)</f>
        <v/>
      </c>
      <c r="X135" s="2862">
        <f>SUM(I135:J135)</f>
        <v/>
      </c>
    </row>
    <row r="136" ht="13.5" customHeight="1" s="2828" thickBot="1">
      <c r="A136" s="77" t="n"/>
      <c r="B136" s="2867">
        <f>SUM(C136:L136)</f>
        <v/>
      </c>
      <c r="C136" s="2864" t="n"/>
      <c r="D136" s="2864" t="n"/>
      <c r="E136" s="2864" t="n"/>
      <c r="F136" s="2864" t="n"/>
      <c r="G136" s="2864" t="n"/>
      <c r="H136" s="2864" t="n"/>
      <c r="I136" s="2864" t="n"/>
      <c r="J136" s="2864" t="n"/>
      <c r="K136" s="2864" t="n"/>
      <c r="L136" s="2864" t="n"/>
      <c r="M136" s="2868" t="n"/>
      <c r="N136" s="2898" t="n"/>
      <c r="O136" s="2886" t="n"/>
      <c r="P136" s="2864" t="n"/>
      <c r="Q136" s="2870" t="n"/>
      <c r="R136" s="2864" t="n"/>
      <c r="S136" s="2886" t="n"/>
      <c r="T136" s="2864" t="n"/>
      <c r="U136" s="2886" t="n"/>
      <c r="W136" s="2862">
        <f>SUM(C136:H136)</f>
        <v/>
      </c>
      <c r="X136" s="2862">
        <f>SUM(I136:J136)</f>
        <v/>
      </c>
    </row>
    <row r="137" ht="26.25" customHeight="1" s="2828" thickBot="1">
      <c r="A137" s="2267" t="inlineStr">
        <is>
          <t>Shareholders’ equity attributable to shareholders (summation of items III.A. to III.F.)</t>
        </is>
      </c>
      <c r="B137" s="2867">
        <f>SUM(C137:L137)</f>
        <v/>
      </c>
      <c r="C137" s="2863">
        <f>SUM(C126,C129:C133)</f>
        <v/>
      </c>
      <c r="D137" s="2863">
        <f>SUM(D126,D129:D133)</f>
        <v/>
      </c>
      <c r="E137" s="2863">
        <f>SUM(E126,E129:E133)</f>
        <v/>
      </c>
      <c r="F137" s="2863">
        <f>SUM(F126,F129:F133)</f>
        <v/>
      </c>
      <c r="G137" s="2863">
        <f>SUM(G126,G129:G133)</f>
        <v/>
      </c>
      <c r="H137" s="2863">
        <f>SUM(H126,H129:H133)</f>
        <v/>
      </c>
      <c r="I137" s="2863">
        <f>SUM(I126,I129:I133)</f>
        <v/>
      </c>
      <c r="J137" s="2863">
        <f>SUM(J126,J129:J133)</f>
        <v/>
      </c>
      <c r="K137" s="2863">
        <f>SUM(K126,K129:K133)</f>
        <v/>
      </c>
      <c r="L137" s="2863">
        <f>SUM(L126,L129:L133)</f>
        <v/>
      </c>
      <c r="M137" s="2859" t="n"/>
      <c r="N137" s="2899">
        <f>SUM(N126,N129:N133)</f>
        <v/>
      </c>
      <c r="O137" s="2892" t="n"/>
      <c r="P137" s="2863">
        <f>SUM(P126,P129:P133)</f>
        <v/>
      </c>
      <c r="Q137" s="2858" t="n"/>
      <c r="R137" s="2863">
        <f>SUM(R126,R129:R133)</f>
        <v/>
      </c>
      <c r="S137" s="2892" t="n"/>
      <c r="T137" s="2863">
        <f>SUM(T126,T129:T133)</f>
        <v/>
      </c>
      <c r="U137" s="2892" t="n"/>
      <c r="W137" s="2862">
        <f>SUM(C137:H137)</f>
        <v/>
      </c>
      <c r="X137" s="2862">
        <f>SUM(I137:J137)</f>
        <v/>
      </c>
    </row>
    <row r="138" ht="13.5" customHeight="1" s="2828" thickBot="1">
      <c r="A138" s="988" t="inlineStr">
        <is>
          <t>III.G. Minority / non-controlling interests</t>
        </is>
      </c>
      <c r="B138" s="2867">
        <f>SUM(C138:L138)</f>
        <v/>
      </c>
      <c r="C138" s="2870" t="n"/>
      <c r="D138" s="2886" t="n"/>
      <c r="E138" s="2886" t="n"/>
      <c r="F138" s="2870" t="n"/>
      <c r="G138" s="2886" t="n"/>
      <c r="H138" s="2886" t="n"/>
      <c r="I138" s="2886" t="n"/>
      <c r="J138" s="2870" t="n"/>
      <c r="K138" s="2886" t="n"/>
      <c r="L138" s="2864" t="n"/>
      <c r="M138" s="2868" t="n"/>
      <c r="N138" s="2893" t="n"/>
      <c r="O138" s="2886" t="n"/>
      <c r="P138" s="2870" t="n"/>
      <c r="Q138" s="2870" t="n"/>
      <c r="R138" s="2886" t="n"/>
      <c r="S138" s="2886" t="n"/>
      <c r="T138" s="2886" t="n"/>
      <c r="U138" s="2886" t="n"/>
      <c r="W138" s="2889" t="n"/>
      <c r="X138" s="2889" t="n"/>
    </row>
    <row r="139" ht="13.5" customHeight="1" s="2828" thickBot="1">
      <c r="A139" s="988" t="inlineStr">
        <is>
          <t>III.H. Participating policyholders' equity or account</t>
        </is>
      </c>
      <c r="B139" s="2867">
        <f>SUM(C139:L139)</f>
        <v/>
      </c>
      <c r="C139" s="2870" t="n"/>
      <c r="D139" s="2886" t="n"/>
      <c r="E139" s="2886" t="n"/>
      <c r="F139" s="2864" t="n"/>
      <c r="G139" s="2886" t="n"/>
      <c r="H139" s="2886" t="n"/>
      <c r="I139" s="2886" t="n"/>
      <c r="J139" s="2870" t="n"/>
      <c r="K139" s="2886" t="n"/>
      <c r="L139" s="2886" t="n"/>
      <c r="M139" s="2868" t="n"/>
      <c r="N139" s="2869" t="n"/>
      <c r="O139" s="2886" t="n"/>
      <c r="P139" s="2864" t="n"/>
      <c r="Q139" s="2870" t="n"/>
      <c r="R139" s="2864" t="n"/>
      <c r="S139" s="2886" t="n"/>
      <c r="T139" s="2864" t="n"/>
      <c r="U139" s="2886" t="n"/>
      <c r="W139" s="2862">
        <f>SUM(C139:H139)</f>
        <v/>
      </c>
      <c r="X139" s="2889" t="n"/>
    </row>
    <row r="140" ht="27.75" customHeight="1" s="2828" thickBot="1">
      <c r="A140" s="993" t="inlineStr">
        <is>
          <t>III.I. Total equity (summation of items III.A. to III.H.)</t>
        </is>
      </c>
      <c r="B140" s="2900" t="n">
        <v>11800</v>
      </c>
      <c r="C140" s="2900">
        <f>SUM(C137:C139)</f>
        <v/>
      </c>
      <c r="D140" s="2900">
        <f>SUM(D137:D139)</f>
        <v/>
      </c>
      <c r="E140" s="2900">
        <f>SUM(E137:E139)</f>
        <v/>
      </c>
      <c r="F140" s="2900">
        <f>SUM(F137:F139)</f>
        <v/>
      </c>
      <c r="G140" s="2900">
        <f>SUM(G137:G139)</f>
        <v/>
      </c>
      <c r="H140" s="2900">
        <f>SUM(H137:H139)</f>
        <v/>
      </c>
      <c r="I140" s="2900">
        <f>SUM(I137:I139)</f>
        <v/>
      </c>
      <c r="J140" s="2900">
        <f>SUM(J137:J139)</f>
        <v/>
      </c>
      <c r="K140" s="2900">
        <f>SUM(K137:K139)</f>
        <v/>
      </c>
      <c r="L140" s="2900">
        <f>SUM(L137:L139)</f>
        <v/>
      </c>
      <c r="M140" s="2859" t="n"/>
      <c r="N140" s="2866">
        <f>SUM(N137:N139)</f>
        <v/>
      </c>
      <c r="O140" s="2901" t="n"/>
      <c r="P140" s="2900">
        <f>SUM(P137:P139)</f>
        <v/>
      </c>
      <c r="Q140" s="2902" t="n"/>
      <c r="R140" s="2900">
        <f>SUM(R137:R139)</f>
        <v/>
      </c>
      <c r="S140" s="2901" t="n"/>
      <c r="T140" s="2900">
        <f>SUM(T137:T139)</f>
        <v/>
      </c>
      <c r="U140" s="2901" t="n"/>
      <c r="W140" s="2866">
        <f>SUM(C140:H140)</f>
        <v/>
      </c>
      <c r="X140" s="2866">
        <f>SUM(I140:J140)</f>
        <v/>
      </c>
    </row>
    <row r="141" ht="13.5" customHeight="1" s="2828" thickBot="1">
      <c r="A141" s="994" t="n"/>
      <c r="B141" s="2859" t="n"/>
      <c r="C141" s="2859" t="n"/>
      <c r="D141" s="2859" t="n"/>
      <c r="E141" s="2859" t="n"/>
      <c r="F141" s="2859" t="n"/>
      <c r="G141" s="2859" t="n"/>
      <c r="H141" s="2859" t="n"/>
      <c r="I141" s="2859" t="n"/>
      <c r="J141" s="2859" t="n"/>
      <c r="K141" s="2859" t="n"/>
      <c r="L141" s="2859" t="n"/>
      <c r="M141" s="2859" t="n"/>
      <c r="N141" s="2859" t="n"/>
      <c r="O141" s="2859" t="n"/>
      <c r="P141" s="2859" t="n"/>
      <c r="Q141" s="2859" t="n"/>
      <c r="R141" s="2859" t="n"/>
      <c r="S141" s="2859" t="n"/>
      <c r="T141" s="2859" t="n"/>
      <c r="U141" s="2859" t="n"/>
      <c r="W141" s="2859" t="n"/>
      <c r="X141" s="2859" t="n"/>
    </row>
    <row r="142" ht="13.5" customHeight="1" s="2828" thickBot="1">
      <c r="A142" s="995" t="inlineStr">
        <is>
          <t>Check (Net assets)</t>
        </is>
      </c>
      <c r="B142" s="82">
        <f>IF(ABS(B123-B140)&lt;=B143,"OK","Commentary Required")</f>
        <v/>
      </c>
      <c r="C142" s="82">
        <f>IF(ABS(C123-C140)&lt;=C143,"OK","Commentary Required")</f>
        <v/>
      </c>
      <c r="D142" s="82">
        <f>IF(ABS(D123-D140)&lt;=D143,"OK","Commentary Required")</f>
        <v/>
      </c>
      <c r="E142" s="82">
        <f>IF(ABS(E123-E140)&lt;=E143,"OK","Commentary Required")</f>
        <v/>
      </c>
      <c r="F142" s="82">
        <f>IF(ABS(F123-F140)&lt;=F143,"OK","Commentary Required")</f>
        <v/>
      </c>
      <c r="G142" s="82">
        <f>IF(ABS(G123-G140)&lt;=G143,"OK","Commentary Required")</f>
        <v/>
      </c>
      <c r="H142" s="82">
        <f>IF(ABS(H123-H140)&lt;=H143,"OK","Commentary Required")</f>
        <v/>
      </c>
      <c r="I142" s="82">
        <f>IF(ABS(I123-I140)&lt;=I143,"OK","Commentary Required")</f>
        <v/>
      </c>
      <c r="J142" s="82">
        <f>IF(ABS(J123-J140)&lt;=J143,"OK","Commentary Required")</f>
        <v/>
      </c>
      <c r="K142" s="82">
        <f>IF(ABS(K123-K140)&lt;=K143,"OK","Commentary Required")</f>
        <v/>
      </c>
      <c r="L142" s="82">
        <f>IF(ABS(L123-L140)&lt;=L143,"OK","Commentary Required")</f>
        <v/>
      </c>
      <c r="M142" s="2859" t="n"/>
      <c r="N142" s="82">
        <f>IF(ABS(N123-N140)&lt;=N143,"OK","Commentary Required")</f>
        <v/>
      </c>
      <c r="O142" s="83" t="n"/>
      <c r="P142" s="82">
        <f>IF(ABS(P123-P140)&lt;=P143,"OK","Commentary Required")</f>
        <v/>
      </c>
      <c r="Q142" s="83" t="n"/>
      <c r="R142" s="82">
        <f>IF(ABS(R123-R140)&lt;=R143,"OK","Commentary Required")</f>
        <v/>
      </c>
      <c r="S142" s="83" t="n"/>
      <c r="T142" s="82">
        <f>IF(ABS(T123-T140)&lt;=T143,"OK","Commentary Required")</f>
        <v/>
      </c>
      <c r="U142" s="84" t="n"/>
    </row>
    <row r="143" ht="13.5" customHeight="1" s="2828" thickBot="1">
      <c r="A143" s="996" t="inlineStr">
        <is>
          <t>Tolerance</t>
        </is>
      </c>
      <c r="B143" s="2903" t="n">
        <v>1</v>
      </c>
      <c r="C143" s="2903" t="n">
        <v>1</v>
      </c>
      <c r="D143" s="2903" t="n">
        <v>1</v>
      </c>
      <c r="E143" s="2903" t="n">
        <v>1</v>
      </c>
      <c r="F143" s="2903" t="n">
        <v>1</v>
      </c>
      <c r="G143" s="2903" t="n">
        <v>1</v>
      </c>
      <c r="H143" s="2903" t="n">
        <v>1</v>
      </c>
      <c r="I143" s="2903" t="n">
        <v>1</v>
      </c>
      <c r="J143" s="2903" t="n">
        <v>1</v>
      </c>
      <c r="K143" s="2903" t="n">
        <v>1</v>
      </c>
      <c r="L143" s="2903" t="n">
        <v>1</v>
      </c>
      <c r="M143" s="2859" t="n"/>
      <c r="N143" s="2903" t="n">
        <v>1</v>
      </c>
      <c r="O143" s="2904" t="n"/>
      <c r="P143" s="2903" t="n">
        <v>1</v>
      </c>
      <c r="Q143" s="2904" t="n"/>
      <c r="R143" s="2903" t="n">
        <v>1</v>
      </c>
      <c r="S143" s="2904" t="n"/>
      <c r="T143" s="2903" t="n">
        <v>1</v>
      </c>
      <c r="U143" s="2905" t="n"/>
    </row>
    <row r="144" ht="13.5" customHeight="1" s="2828" thickBot="1">
      <c r="A144" s="997" t="inlineStr">
        <is>
          <t>Commentaries</t>
        </is>
      </c>
      <c r="B144" s="998" t="n"/>
      <c r="C144" s="998" t="n"/>
      <c r="D144" s="998" t="n"/>
      <c r="E144" s="998" t="n"/>
      <c r="F144" s="998" t="n"/>
      <c r="G144" s="998" t="n"/>
      <c r="H144" s="998" t="n"/>
      <c r="I144" s="998" t="n"/>
      <c r="J144" s="998" t="n"/>
      <c r="K144" s="998" t="n"/>
      <c r="L144" s="998" t="n"/>
      <c r="M144" s="2859" t="n"/>
      <c r="N144" s="998" t="n"/>
      <c r="O144" s="88" t="n"/>
      <c r="P144" s="998" t="n"/>
      <c r="Q144" s="88" t="n"/>
      <c r="R144" s="998" t="n"/>
      <c r="S144" s="88" t="n"/>
      <c r="T144" s="998" t="n"/>
      <c r="U144" s="89" t="n"/>
    </row>
    <row r="145" ht="12.75" customHeight="1" s="2828">
      <c r="A145" s="994" t="n"/>
      <c r="B145" s="2859" t="n"/>
      <c r="C145" s="2859" t="n"/>
      <c r="D145" s="2859" t="n"/>
      <c r="E145" s="2859" t="n"/>
      <c r="F145" s="2859" t="n"/>
      <c r="G145" s="2859" t="n"/>
      <c r="H145" s="2859" t="n"/>
      <c r="I145" s="2859" t="n"/>
      <c r="J145" s="2859" t="n"/>
      <c r="K145" s="2859" t="n"/>
      <c r="L145" s="2859" t="n"/>
      <c r="M145" s="2859" t="n"/>
      <c r="N145" s="2859" t="n"/>
      <c r="O145" s="425" t="n"/>
      <c r="P145" s="2859" t="n"/>
      <c r="Q145" s="425" t="n"/>
      <c r="R145" s="2859" t="n"/>
      <c r="S145" s="425" t="n"/>
      <c r="T145" s="2859" t="n"/>
      <c r="U145" s="425" t="n"/>
    </row>
    <row r="146" ht="12.75" customHeight="1" s="2828">
      <c r="A146" s="24" t="inlineStr">
        <is>
          <t>Check for input on Branch Jurisdicion and Name (N15)</t>
        </is>
      </c>
      <c r="B146" s="24" t="n"/>
    </row>
    <row r="147" ht="12.75" customHeight="1" s="2828">
      <c r="A147" s="23" t="inlineStr">
        <is>
          <t xml:space="preserve">Check </t>
        </is>
      </c>
      <c r="B147" s="91">
        <f>IF((AND(N15="(Jurisdiction) Branch 1",SUM(N123,N140,O127)=0)),"OK",IF(N15&lt;&gt;"(Jurisdiction) Branch 1","OK","Error"))</f>
        <v/>
      </c>
    </row>
    <row r="148" ht="12.75" customHeight="1" s="2828">
      <c r="A148" s="26" t="n"/>
    </row>
    <row r="149" ht="12.75" customHeight="1" s="2828">
      <c r="A149" s="24" t="inlineStr">
        <is>
          <t>Check for input on Branch Jurisdicion and Name (P15)</t>
        </is>
      </c>
      <c r="B149" s="24" t="n"/>
    </row>
    <row r="150" ht="12.75" customHeight="1" s="2828">
      <c r="A150" s="23" t="inlineStr">
        <is>
          <t xml:space="preserve">Check </t>
        </is>
      </c>
      <c r="B150" s="91">
        <f>IF((AND(P15="(Jurisdiction) Branch 2",SUM(P123,P140,Q127)=0)),"OK",IF(P15&lt;&gt;"(Jurisdiction) Branch 2","OK","Error"))</f>
        <v/>
      </c>
    </row>
    <row r="152" ht="12.75" customHeight="1" s="2828">
      <c r="A152" s="24" t="inlineStr">
        <is>
          <t>Check for input on Branch Jurisdicion and Name (R15)</t>
        </is>
      </c>
      <c r="B152" s="24" t="n"/>
    </row>
    <row r="153" ht="12.75" customHeight="1" s="2828">
      <c r="A153" s="23" t="inlineStr">
        <is>
          <t xml:space="preserve">Check </t>
        </is>
      </c>
      <c r="B153" s="91">
        <f>IF((AND(R15="(Jurisdiction) Branch 3",SUM(R123,R140,S127)=0)),"OK",IF(R15&lt;&gt;"(Jurisdiction) Branch 3","OK","Error"))</f>
        <v/>
      </c>
    </row>
    <row r="155" ht="12.75" customHeight="1" s="2828">
      <c r="A155" s="24" t="inlineStr">
        <is>
          <t>Check for input on Branch Jurisdicion and Name (T15)</t>
        </is>
      </c>
      <c r="B155" s="24" t="n"/>
    </row>
    <row r="156" ht="12.75" customHeight="1" s="2828">
      <c r="A156" s="23" t="inlineStr">
        <is>
          <t xml:space="preserve">Check </t>
        </is>
      </c>
      <c r="B156" s="91">
        <f>IF((AND(T15="(Jurisdiction) Branch 4",SUM(T123,T140,U127)=0)),"OK",IF(T15&lt;&gt;"(Jurisdiction) Branch 4","OK","Error"))</f>
        <v/>
      </c>
    </row>
    <row r="160">
      <c r="A160" s="26" t="n"/>
    </row>
  </sheetData>
  <mergeCells count="37">
    <mergeCell ref="X14:X16"/>
    <mergeCell ref="A12:A16"/>
    <mergeCell ref="Z14:Z16"/>
    <mergeCell ref="AI15:AI16"/>
    <mergeCell ref="T15:U15"/>
    <mergeCell ref="C17:L17"/>
    <mergeCell ref="C15:G15"/>
    <mergeCell ref="J15:J16"/>
    <mergeCell ref="AH14:AI14"/>
    <mergeCell ref="AA15:AA16"/>
    <mergeCell ref="AC15:AC16"/>
    <mergeCell ref="K14:K16"/>
    <mergeCell ref="AD15:AD16"/>
    <mergeCell ref="AF15:AF16"/>
    <mergeCell ref="C13:L13"/>
    <mergeCell ref="W14:W16"/>
    <mergeCell ref="AA14:AG14"/>
    <mergeCell ref="AA25:AI25"/>
    <mergeCell ref="R15:S15"/>
    <mergeCell ref="AH15:AH16"/>
    <mergeCell ref="N14:U14"/>
    <mergeCell ref="B13:B16"/>
    <mergeCell ref="A17:A18"/>
    <mergeCell ref="I14:J14"/>
    <mergeCell ref="H15:H16"/>
    <mergeCell ref="AE15:AE16"/>
    <mergeCell ref="AG15:AG16"/>
    <mergeCell ref="AJ14:AJ16"/>
    <mergeCell ref="Z13:AJ13"/>
    <mergeCell ref="AB15:AB16"/>
    <mergeCell ref="C14:H14"/>
    <mergeCell ref="N15:O15"/>
    <mergeCell ref="P15:Q15"/>
    <mergeCell ref="N17:T17"/>
    <mergeCell ref="I15:I16"/>
    <mergeCell ref="L14:L16"/>
    <mergeCell ref="W13:X13"/>
  </mergeCells>
  <conditionalFormatting sqref="A142:XFD142">
    <cfRule type="cellIs" priority="1" operator="equal" dxfId="371">
      <formula>"Commentary Required"</formula>
    </cfRule>
  </conditionalFormatting>
  <conditionalFormatting sqref="B147">
    <cfRule type="cellIs" priority="11" operator="equal" dxfId="3">
      <formula>"Commentary Required"</formula>
    </cfRule>
    <cfRule type="cellIs" priority="12" operator="equal" dxfId="1">
      <formula>"OK"</formula>
    </cfRule>
    <cfRule type="cellIs" priority="13" operator="equal" dxfId="0">
      <formula>"Error"</formula>
    </cfRule>
  </conditionalFormatting>
  <conditionalFormatting sqref="B150">
    <cfRule type="cellIs" priority="8" operator="equal" dxfId="3">
      <formula>"Commentary Required"</formula>
    </cfRule>
    <cfRule type="cellIs" priority="9" operator="equal" dxfId="1">
      <formula>"OK"</formula>
    </cfRule>
    <cfRule type="cellIs" priority="10" operator="equal" dxfId="0">
      <formula>"Error"</formula>
    </cfRule>
  </conditionalFormatting>
  <conditionalFormatting sqref="B153">
    <cfRule type="cellIs" priority="5" operator="equal" dxfId="3">
      <formula>"Commentary Required"</formula>
    </cfRule>
    <cfRule type="cellIs" priority="6" operator="equal" dxfId="1">
      <formula>"OK"</formula>
    </cfRule>
    <cfRule type="cellIs" priority="7" operator="equal" dxfId="0">
      <formula>"Error"</formula>
    </cfRule>
  </conditionalFormatting>
  <conditionalFormatting sqref="B156">
    <cfRule type="cellIs" priority="2" operator="equal" dxfId="3">
      <formula>"Commentary Required"</formula>
    </cfRule>
    <cfRule type="cellIs" priority="3" operator="equal" dxfId="1">
      <formula>"OK"</formula>
    </cfRule>
    <cfRule type="cellIs" priority="4" operator="equal" dxfId="0">
      <formula>"Error"</formula>
    </cfRule>
  </conditionalFormatting>
  <conditionalFormatting sqref="B142:U142">
    <cfRule type="cellIs" priority="14" operator="equal" dxfId="1">
      <formula>"OK"</formula>
    </cfRule>
  </conditionalFormatting>
  <dataValidations count="1">
    <dataValidation sqref="C23:L25 C27:L32 C34:L39 C41:L42 C43:E43 C45:L47 C49:L50 C52:L53 C55:L58 C59:J59 C62:J75 C82:C83 C85:C87 C89:H98 C100:L101 C103:L104 C106:L116 C117:K120 C130:K132 C134:L136 F82:J83 F85:J87 F139 I95:J98 I127:J129 K65:L72 K73:K75 K97:L98 L74:L75 L118:L120 L127:L132 L138 N23:N25 N27:N32 N34:N39 N41:N43 N45:N47 N49:N50 N52:N53 N55:N59 N62:N75 N82:U83 N85:U87 N89:U98 N100:N101 N103:N104 N106:N120 N129:N132 N134:N136 N139 O22 O25:O26 O33 O39:O40 O43:O44 O47:O48 O51 O54 O57 O59:O60 O73:O75 O99 O117:O120 P23:P25 P27:P32 P34:P39 P41:P43 P45:P47 P49:P50 P52:P53 P55:P59 P62:P75 P100:P101 P103:P104 P106:P120 P129:P132 P134:P136 P139 Q22 Q25:Q26 Q33 Q39:Q40 Q43:Q44 Q47:Q48 Q51 Q54 Q57 Q59:Q60 Q73:Q75 Q99 Q117:Q120 R23:R25 R27:R32 R34:R39 R41:R43 R45:R47 R49:R50 R52:R53 R55:R59 R62:R75 R100:R101 R103:R104 R106:R120 R129:R132 R134:R136 R139 S22 S25:S26 S33 S39:S40 S43:S44 S47:S48 S51 S54 S57 S59:S60 S73:S75 S99 S117:S120 T23:T25 T27:T32 T34:T39 T41:T43 T45:T47 T49:T50 T52:T53 T55:T59 T62:T75 T100:T101 T103:T104 T106:T120 T129:T132 T134:T136 T139 U22 U25:U26 U33 U39:U40 U43:U44 U47:U48 U51 U54 U57 U59:U60 U73:U75 U99 U117:U120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5" right="0.5" top="0.5" bottom="0.5" header="0.05" footer="0.05"/>
  <pageSetup orientation="landscape" paperSize="8" scale="29" fitToWidth="2"/>
  <colBreaks count="1" manualBreakCount="1">
    <brk id="25" min="0" max="155" man="1"/>
  </colBreaks>
</worksheet>
</file>

<file path=xl/worksheets/sheet2.xml><?xml version="1.0" encoding="utf-8"?>
<worksheet xmlns="http://schemas.openxmlformats.org/spreadsheetml/2006/main">
  <sheetPr codeName="Sheet31">
    <outlinePr summaryBelow="1" summaryRight="1"/>
    <pageSetUpPr fitToPage="1"/>
  </sheetPr>
  <dimension ref="A1:L67"/>
  <sheetViews>
    <sheetView zoomScale="80" zoomScaleNormal="80" workbookViewId="0">
      <selection activeCell="A1" sqref="A1"/>
    </sheetView>
  </sheetViews>
  <sheetFormatPr baseColWidth="8" defaultColWidth="9.42578125" defaultRowHeight="12.75"/>
  <cols>
    <col width="49.7109375" customWidth="1" style="195" min="1" max="1"/>
    <col width="19.42578125" customWidth="1" style="195" min="2" max="6"/>
    <col width="3.42578125" customWidth="1" style="195" min="7" max="7"/>
    <col width="19.42578125" customWidth="1" style="195" min="8" max="11"/>
    <col width="3.42578125" customWidth="1" style="195" min="12" max="12"/>
    <col width="9.42578125" customWidth="1" style="195" min="13" max="16384"/>
  </cols>
  <sheetData>
    <row r="1" ht="16.5" customHeight="1" s="2828">
      <c r="A1" s="1204" t="inlineStr">
        <is>
          <t>F.LT.1.1 Summary of current estimate for long term business</t>
        </is>
      </c>
      <c r="B1" s="1204" t="n"/>
      <c r="C1" s="1204" t="n"/>
      <c r="D1" s="1204" t="n"/>
      <c r="E1" s="1204" t="n"/>
      <c r="F1" s="1204" t="n"/>
      <c r="G1" s="1205" t="n"/>
      <c r="H1" s="1205" t="n"/>
      <c r="I1" s="1205" t="n"/>
      <c r="J1" s="1205" t="n"/>
      <c r="K1" s="1205" t="n"/>
      <c r="L1" s="194" t="n"/>
    </row>
    <row r="2" ht="16.5" customHeight="1" s="2828">
      <c r="A2" s="900" t="inlineStr">
        <is>
          <t>Name of Insurer:</t>
        </is>
      </c>
      <c r="B2" s="2374">
        <f>'Cover Page'!F15</f>
        <v/>
      </c>
      <c r="C2" s="2906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16.5" customHeight="1" s="2828">
      <c r="A3" s="900" t="inlineStr">
        <is>
          <t>Valuation Date:</t>
        </is>
      </c>
      <c r="B3" s="2374" t="inlineStr">
        <is>
          <t>31 Dec 2025</t>
        </is>
      </c>
      <c r="C3" s="2906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6.5" customHeight="1" s="2828">
      <c r="A4" s="900" t="inlineStr">
        <is>
          <t>Reporting Period:</t>
        </is>
      </c>
      <c r="B4" s="2375" t="n"/>
      <c r="C4" s="2906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 hidden="1" ht="12.75" customHeight="1" s="2828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6" t="n"/>
    </row>
    <row r="6" hidden="1" ht="12.75" customHeight="1" s="2828">
      <c r="A6" s="1208" t="n"/>
    </row>
    <row r="7" ht="12.75" customHeight="1" s="2828">
      <c r="A7" s="1209" t="inlineStr">
        <is>
          <t>(Unit: in HKD thousands)</t>
        </is>
      </c>
    </row>
    <row r="8" ht="12.75" customHeight="1" s="2828">
      <c r="A8" s="1210" t="inlineStr">
        <is>
          <t>Column 1</t>
        </is>
      </c>
      <c r="B8" s="1210" t="inlineStr">
        <is>
          <t>Column 2</t>
        </is>
      </c>
      <c r="C8" s="1210" t="inlineStr">
        <is>
          <t>Column 3</t>
        </is>
      </c>
      <c r="D8" s="1210" t="inlineStr">
        <is>
          <t>Column 4</t>
        </is>
      </c>
      <c r="E8" s="1210" t="inlineStr">
        <is>
          <t>Column 5</t>
        </is>
      </c>
      <c r="F8" s="1210" t="inlineStr">
        <is>
          <t>Column 6</t>
        </is>
      </c>
      <c r="H8" s="1210" t="inlineStr">
        <is>
          <t>Column 7</t>
        </is>
      </c>
      <c r="I8" s="1210" t="inlineStr">
        <is>
          <t>Column 8</t>
        </is>
      </c>
      <c r="J8" s="1210" t="inlineStr">
        <is>
          <t>Column 9</t>
        </is>
      </c>
      <c r="K8" s="1210" t="inlineStr">
        <is>
          <t>Column 10</t>
        </is>
      </c>
    </row>
    <row r="9" ht="49.5" customHeight="1" s="2828">
      <c r="A9" s="2359" t="inlineStr">
        <is>
          <t>Lines of business classification</t>
        </is>
      </c>
      <c r="B9" s="2814" t="inlineStr">
        <is>
          <t>Current estimate
(excluding the offshore RI business in the case of branches operating in Hong Kong, where offshore RI fund is established)</t>
        </is>
      </c>
      <c r="C9" s="2907" t="n"/>
      <c r="D9" s="2907" t="n"/>
      <c r="E9" s="2907" t="n"/>
      <c r="F9" s="2906" t="n"/>
      <c r="G9" s="196" t="n"/>
      <c r="H9" s="2814" t="inlineStr">
        <is>
          <t>Current estimate (Gross of RI ceded)
(including the offshore RI business)</t>
        </is>
      </c>
      <c r="I9" s="2907" t="n"/>
      <c r="J9" s="2907" t="n"/>
      <c r="K9" s="2906" t="n"/>
    </row>
    <row r="10" ht="38.25" customHeight="1" s="2828">
      <c r="A10" s="2850" t="n"/>
      <c r="B10" s="2359" t="inlineStr">
        <is>
          <t>Deterministic 
current estimate (Gross of RI ceded)</t>
        </is>
      </c>
      <c r="C10" s="2359" t="inlineStr">
        <is>
          <t>Time value of options and guarantees (TVOG)</t>
        </is>
      </c>
      <c r="D10" s="2359" t="inlineStr">
        <is>
          <t>Current estimate (Gross of RI ceded)</t>
        </is>
      </c>
      <c r="E10" s="2359" t="inlineStr">
        <is>
          <t>RI ceded</t>
        </is>
      </c>
      <c r="F10" s="2359" t="inlineStr">
        <is>
          <t>Current estimate 
(Net of RI ceded)</t>
        </is>
      </c>
      <c r="G10" s="196" t="n"/>
      <c r="H10" s="2359" t="inlineStr">
        <is>
          <t>Onshore - Direct</t>
        </is>
      </c>
      <c r="I10" s="2359" t="inlineStr">
        <is>
          <t>Onshore - Inward RI</t>
        </is>
      </c>
      <c r="J10" s="2359" t="inlineStr">
        <is>
          <t>Offshore - Direct</t>
        </is>
      </c>
      <c r="K10" s="2359" t="inlineStr">
        <is>
          <t>Offshore - Inward RI</t>
        </is>
      </c>
    </row>
    <row r="11" ht="12.75" customHeight="1" s="2828">
      <c r="A11" s="1211" t="inlineStr">
        <is>
          <t xml:space="preserve">Total Business </t>
        </is>
      </c>
      <c r="B11" s="2908" t="n">
        <v>23850</v>
      </c>
      <c r="C11" s="2908">
        <f>SUM(C30,C12,C24,C27,C42)</f>
        <v/>
      </c>
      <c r="D11" s="2908" t="n">
        <v>23850</v>
      </c>
      <c r="E11" s="2908">
        <f>SUM(E30,E12,E24,E27,E42)</f>
        <v/>
      </c>
      <c r="F11" s="2908">
        <f>D11-E11</f>
        <v/>
      </c>
      <c r="G11" s="1212" t="n"/>
      <c r="H11" s="2908">
        <f>SUM(H30,H12,H24,H27,H42)</f>
        <v/>
      </c>
      <c r="I11" s="2908">
        <f>SUM(I30,I12,I24,I27,I42)</f>
        <v/>
      </c>
      <c r="J11" s="2908">
        <f>SUM(J30,J12,J24,J27,J42)</f>
        <v/>
      </c>
      <c r="K11" s="2908">
        <f>SUM(K30,K12,K24,K27,K42)</f>
        <v/>
      </c>
    </row>
    <row r="12" ht="12.75" customHeight="1" s="2828">
      <c r="A12" s="1213" t="inlineStr">
        <is>
          <t>Linked Long Term (Class C)</t>
        </is>
      </c>
      <c r="B12" s="2908" t="n">
        <v>0</v>
      </c>
      <c r="C12" s="2908">
        <f>SUM(C13,C16,C19:C23)</f>
        <v/>
      </c>
      <c r="D12" s="2908" t="n">
        <v>0</v>
      </c>
      <c r="E12" s="2908">
        <f>SUM(E13,E16,E19:E23)</f>
        <v/>
      </c>
      <c r="F12" s="2908">
        <f>D12-E12</f>
        <v/>
      </c>
      <c r="G12" s="1214" t="n"/>
      <c r="H12" s="2908">
        <f>SUM(H13,H16,H19:H23)</f>
        <v/>
      </c>
      <c r="I12" s="2908">
        <f>SUM(I13,I16,I19:I23)</f>
        <v/>
      </c>
      <c r="J12" s="2908">
        <f>SUM(J13,J16,J19:J23)</f>
        <v/>
      </c>
      <c r="K12" s="2908">
        <f>SUM(K13,K16,K19:K23)</f>
        <v/>
      </c>
    </row>
    <row r="13" ht="12.75" customHeight="1" s="2828">
      <c r="A13" s="1215" t="inlineStr">
        <is>
          <t>Unit Linked</t>
        </is>
      </c>
      <c r="B13" s="2908" t="n">
        <v>0</v>
      </c>
      <c r="C13" s="2908">
        <f>SUM(C14:C15)</f>
        <v/>
      </c>
      <c r="D13" s="2908" t="n">
        <v>0</v>
      </c>
      <c r="E13" s="2908">
        <f>SUM(E14:E15)</f>
        <v/>
      </c>
      <c r="F13" s="2908">
        <f>D13-E13</f>
        <v/>
      </c>
      <c r="G13" s="1214" t="n"/>
      <c r="H13" s="2908">
        <f>SUM(H14:H15)</f>
        <v/>
      </c>
      <c r="I13" s="2908">
        <f>SUM(I14:I15)</f>
        <v/>
      </c>
      <c r="J13" s="2908">
        <f>SUM(J14:J15)</f>
        <v/>
      </c>
      <c r="K13" s="2908">
        <f>SUM(K14:K15)</f>
        <v/>
      </c>
    </row>
    <row r="14" ht="12.75" customHeight="1" s="2828">
      <c r="A14" s="1216" t="inlineStr">
        <is>
          <t>Unit Linked - Unit Reserves</t>
        </is>
      </c>
      <c r="B14" s="2909" t="n">
        <v>0</v>
      </c>
      <c r="C14" s="2910" t="n"/>
      <c r="D14" s="2908" t="n">
        <v>0</v>
      </c>
      <c r="E14" s="2909" t="n"/>
      <c r="F14" s="2908">
        <f>D14-E14</f>
        <v/>
      </c>
      <c r="G14" s="1214" t="n"/>
      <c r="H14" s="2909" t="n"/>
      <c r="I14" s="2909" t="n"/>
      <c r="J14" s="2909" t="n"/>
      <c r="K14" s="2909" t="n"/>
    </row>
    <row r="15" ht="12.75" customHeight="1" s="2828">
      <c r="A15" s="1216" t="inlineStr">
        <is>
          <t>Unit Linked - Non-Unit Reserves</t>
        </is>
      </c>
      <c r="B15" s="2909" t="n">
        <v>0</v>
      </c>
      <c r="C15" s="2909" t="n"/>
      <c r="D15" s="2908" t="n">
        <v>0</v>
      </c>
      <c r="E15" s="2909" t="n"/>
      <c r="F15" s="2908">
        <f>D15-E15</f>
        <v/>
      </c>
      <c r="G15" s="1214" t="n"/>
      <c r="H15" s="2909" t="n"/>
      <c r="I15" s="2909" t="n"/>
      <c r="J15" s="2909" t="n"/>
      <c r="K15" s="2909" t="n"/>
    </row>
    <row r="16" ht="12.75" customHeight="1" s="2828">
      <c r="A16" s="1215" t="inlineStr">
        <is>
          <t>Indexed Universal Life</t>
        </is>
      </c>
      <c r="B16" s="2908">
        <f>SUM(B17:B18)</f>
        <v/>
      </c>
      <c r="C16" s="2908">
        <f>SUM(C17:C18)</f>
        <v/>
      </c>
      <c r="D16" s="2908">
        <f>B16+C16</f>
        <v/>
      </c>
      <c r="E16" s="2908">
        <f>SUM(E17:E18)</f>
        <v/>
      </c>
      <c r="F16" s="2908">
        <f>D16-E16</f>
        <v/>
      </c>
      <c r="G16" s="1214" t="n"/>
      <c r="H16" s="2908">
        <f>SUM(H17:H18)</f>
        <v/>
      </c>
      <c r="I16" s="2908">
        <f>SUM(I17:I18)</f>
        <v/>
      </c>
      <c r="J16" s="2908">
        <f>SUM(J17:J18)</f>
        <v/>
      </c>
      <c r="K16" s="2908">
        <f>SUM(K17:K18)</f>
        <v/>
      </c>
    </row>
    <row r="17" ht="12.75" customHeight="1" s="2828">
      <c r="A17" s="1216" t="inlineStr">
        <is>
          <t>Indexed Universal Life - Account Balance</t>
        </is>
      </c>
      <c r="B17" s="2909" t="n"/>
      <c r="C17" s="2910" t="n"/>
      <c r="D17" s="2908">
        <f>B17+C17</f>
        <v/>
      </c>
      <c r="E17" s="2909" t="n"/>
      <c r="F17" s="2908">
        <f>D17-E17</f>
        <v/>
      </c>
      <c r="G17" s="1214" t="n"/>
      <c r="H17" s="2909" t="n"/>
      <c r="I17" s="2909" t="n"/>
      <c r="J17" s="2909" t="n"/>
      <c r="K17" s="2909" t="n"/>
    </row>
    <row r="18" ht="12.75" customHeight="1" s="2828">
      <c r="A18" s="1216" t="inlineStr">
        <is>
          <t>Indexed Universal Life - Other Reserves</t>
        </is>
      </c>
      <c r="B18" s="2909" t="n"/>
      <c r="C18" s="2909" t="n"/>
      <c r="D18" s="2908">
        <f>B18+C18</f>
        <v/>
      </c>
      <c r="E18" s="2909" t="n"/>
      <c r="F18" s="2908">
        <f>D18-E18</f>
        <v/>
      </c>
      <c r="G18" s="1214" t="n"/>
      <c r="H18" s="2909" t="n"/>
      <c r="I18" s="2909" t="n"/>
      <c r="J18" s="2909" t="n"/>
      <c r="K18" s="2909" t="n"/>
    </row>
    <row r="19" ht="12.75" customHeight="1" s="2828">
      <c r="A19" s="1215" t="inlineStr">
        <is>
          <t>Term</t>
        </is>
      </c>
      <c r="B19" s="2909" t="n">
        <v>500</v>
      </c>
      <c r="C19" s="2909" t="n"/>
      <c r="D19" s="2908" t="n">
        <v>500</v>
      </c>
      <c r="E19" s="2909" t="n"/>
      <c r="F19" s="2908">
        <f>D19-E19</f>
        <v/>
      </c>
      <c r="G19" s="1214" t="n"/>
      <c r="H19" s="2909" t="n"/>
      <c r="I19" s="2909" t="n"/>
      <c r="J19" s="2909" t="n"/>
      <c r="K19" s="2909" t="n"/>
    </row>
    <row r="20" ht="12.75" customHeight="1" s="2828">
      <c r="A20" s="1215" t="inlineStr">
        <is>
          <t>A&amp;H (Medical)</t>
        </is>
      </c>
      <c r="B20" s="2909" t="n"/>
      <c r="C20" s="2909" t="n"/>
      <c r="D20" s="2908">
        <f>B20+C20</f>
        <v/>
      </c>
      <c r="E20" s="2909" t="n"/>
      <c r="F20" s="2908">
        <f>D20-E20</f>
        <v/>
      </c>
      <c r="G20" s="1214" t="n"/>
      <c r="H20" s="2909" t="n"/>
      <c r="I20" s="2909" t="n"/>
      <c r="J20" s="2909" t="n"/>
      <c r="K20" s="2909" t="n"/>
    </row>
    <row r="21" ht="12.75" customHeight="1" s="2828">
      <c r="A21" s="1215" t="inlineStr">
        <is>
          <t>A&amp;H (Critical Illness)</t>
        </is>
      </c>
      <c r="B21" s="2909" t="n"/>
      <c r="C21" s="2909" t="n"/>
      <c r="D21" s="2908">
        <f>B21+C21</f>
        <v/>
      </c>
      <c r="E21" s="2909" t="n"/>
      <c r="F21" s="2908">
        <f>D21-E21</f>
        <v/>
      </c>
      <c r="G21" s="1214" t="n"/>
      <c r="H21" s="2909" t="n"/>
      <c r="I21" s="2909" t="n"/>
      <c r="J21" s="2909" t="n"/>
      <c r="K21" s="2909" t="n"/>
    </row>
    <row r="22" ht="12.75" customHeight="1" s="2828">
      <c r="A22" s="1215" t="inlineStr">
        <is>
          <t>A&amp;H (Accident &amp; Disability)</t>
        </is>
      </c>
      <c r="B22" s="2909" t="n"/>
      <c r="C22" s="2909" t="n"/>
      <c r="D22" s="2908">
        <f>B22+C22</f>
        <v/>
      </c>
      <c r="E22" s="2909" t="n"/>
      <c r="F22" s="2908">
        <f>D22-E22</f>
        <v/>
      </c>
      <c r="G22" s="1214" t="n"/>
      <c r="H22" s="2909" t="n"/>
      <c r="I22" s="2909" t="n"/>
      <c r="J22" s="2909" t="n"/>
      <c r="K22" s="2909" t="n"/>
    </row>
    <row r="23" ht="12.75" customHeight="1" s="2828">
      <c r="A23" s="1215" t="inlineStr">
        <is>
          <t>Others</t>
        </is>
      </c>
      <c r="B23" s="2909" t="n"/>
      <c r="C23" s="2909" t="n"/>
      <c r="D23" s="2908">
        <f>B23+C23</f>
        <v/>
      </c>
      <c r="E23" s="2909" t="n"/>
      <c r="F23" s="2908">
        <f>D23-E23</f>
        <v/>
      </c>
      <c r="G23" s="1214" t="n"/>
      <c r="H23" s="2909" t="n"/>
      <c r="I23" s="2909" t="n"/>
      <c r="J23" s="2909" t="n"/>
      <c r="K23" s="2909" t="n"/>
    </row>
    <row r="24" ht="12.75" customHeight="1" s="2828">
      <c r="A24" s="1213" t="inlineStr">
        <is>
          <t>Retirement Scheme Category I (Class G)</t>
        </is>
      </c>
      <c r="B24" s="2908" t="n">
        <v>0</v>
      </c>
      <c r="C24" s="2908">
        <f>SUM(C25:C26)</f>
        <v/>
      </c>
      <c r="D24" s="2908" t="n">
        <v>0</v>
      </c>
      <c r="E24" s="2908">
        <f>SUM(E25:E26)</f>
        <v/>
      </c>
      <c r="F24" s="2908">
        <f>D24-E24</f>
        <v/>
      </c>
      <c r="G24" s="1212" t="n"/>
      <c r="H24" s="2908">
        <f>SUM(H25:H26)</f>
        <v/>
      </c>
      <c r="I24" s="2908">
        <f>SUM(I25:I26)</f>
        <v/>
      </c>
      <c r="J24" s="2908">
        <f>SUM(J25:J26)</f>
        <v/>
      </c>
      <c r="K24" s="2908">
        <f>SUM(K25:K26)</f>
        <v/>
      </c>
    </row>
    <row r="25" ht="12.75" customHeight="1" s="2828">
      <c r="A25" s="1215" t="inlineStr">
        <is>
          <t>Class G - Account Balance</t>
        </is>
      </c>
      <c r="B25" s="2909" t="n"/>
      <c r="C25" s="2910" t="n"/>
      <c r="D25" s="2908">
        <f>B25+C25</f>
        <v/>
      </c>
      <c r="E25" s="2909" t="n"/>
      <c r="F25" s="2908">
        <f>D25-E25</f>
        <v/>
      </c>
      <c r="G25" s="1212" t="n"/>
      <c r="H25" s="2909" t="n"/>
      <c r="I25" s="2909" t="n"/>
      <c r="J25" s="2909" t="n"/>
      <c r="K25" s="2909" t="n"/>
    </row>
    <row r="26" ht="12.75" customHeight="1" s="2828">
      <c r="A26" s="1215" t="inlineStr">
        <is>
          <t>Class G - Other Reserves</t>
        </is>
      </c>
      <c r="B26" s="2909" t="n"/>
      <c r="C26" s="2909" t="n"/>
      <c r="D26" s="2908">
        <f>B26+C26</f>
        <v/>
      </c>
      <c r="E26" s="2909" t="n"/>
      <c r="F26" s="2908">
        <f>D26-E26</f>
        <v/>
      </c>
      <c r="G26" s="1212" t="n"/>
      <c r="H26" s="2909" t="n"/>
      <c r="I26" s="2909" t="n"/>
      <c r="J26" s="2909" t="n"/>
      <c r="K26" s="2909" t="n"/>
    </row>
    <row r="27" ht="12.75" customHeight="1" s="2828">
      <c r="A27" s="1213" t="inlineStr">
        <is>
          <t>Retirement Scheme Category II (Class H)</t>
        </is>
      </c>
      <c r="B27" s="2908" t="n">
        <v>0</v>
      </c>
      <c r="C27" s="2908">
        <f>SUM(C28:C29)</f>
        <v/>
      </c>
      <c r="D27" s="2908" t="n">
        <v>0</v>
      </c>
      <c r="E27" s="2908">
        <f>SUM(E28:E29)</f>
        <v/>
      </c>
      <c r="F27" s="2908">
        <f>D27-E27</f>
        <v/>
      </c>
      <c r="G27" s="1212" t="n"/>
      <c r="H27" s="2908">
        <f>SUM(H28:H29)</f>
        <v/>
      </c>
      <c r="I27" s="2908">
        <f>SUM(I28:I29)</f>
        <v/>
      </c>
      <c r="J27" s="2908">
        <f>SUM(J28:J29)</f>
        <v/>
      </c>
      <c r="K27" s="2908">
        <f>SUM(K28:K29)</f>
        <v/>
      </c>
    </row>
    <row r="28" ht="12.75" customHeight="1" s="2828">
      <c r="A28" s="1215" t="inlineStr">
        <is>
          <t>Class H - Account Balance</t>
        </is>
      </c>
      <c r="B28" s="2909" t="n"/>
      <c r="C28" s="2910" t="n"/>
      <c r="D28" s="2908">
        <f>B28+C28</f>
        <v/>
      </c>
      <c r="E28" s="2909" t="n"/>
      <c r="F28" s="2908">
        <f>D28-E28</f>
        <v/>
      </c>
      <c r="G28" s="1212" t="n"/>
      <c r="H28" s="2909" t="n"/>
      <c r="I28" s="2909" t="n"/>
      <c r="J28" s="2909" t="n"/>
      <c r="K28" s="2909" t="n"/>
    </row>
    <row r="29" ht="12.75" customHeight="1" s="2828">
      <c r="A29" s="1215" t="inlineStr">
        <is>
          <t>Class H - Other Reserves</t>
        </is>
      </c>
      <c r="B29" s="2909" t="n"/>
      <c r="C29" s="2909" t="n"/>
      <c r="D29" s="2908">
        <f>B29+C29</f>
        <v/>
      </c>
      <c r="E29" s="2909" t="n"/>
      <c r="F29" s="2908">
        <f>D29-E29</f>
        <v/>
      </c>
      <c r="G29" s="1212" t="n"/>
      <c r="H29" s="2909" t="n"/>
      <c r="I29" s="2909" t="n"/>
      <c r="J29" s="2909" t="n"/>
      <c r="K29" s="2909" t="n"/>
    </row>
    <row r="30" ht="12.75" customHeight="1" s="2828">
      <c r="A30" s="1213" t="inlineStr">
        <is>
          <t>Participating Business</t>
        </is>
      </c>
      <c r="B30" s="2908" t="n">
        <v>18200</v>
      </c>
      <c r="C30" s="2908">
        <f>SUM(C31:C38,C41)</f>
        <v/>
      </c>
      <c r="D30" s="2908" t="n">
        <v>18200</v>
      </c>
      <c r="E30" s="2908">
        <f>SUM(E31:E38,E41)</f>
        <v/>
      </c>
      <c r="F30" s="2908">
        <f>D30-E30</f>
        <v/>
      </c>
      <c r="G30" s="1212" t="n"/>
      <c r="H30" s="2908">
        <f>SUM(H31:H38,H41)</f>
        <v/>
      </c>
      <c r="I30" s="2908">
        <f>SUM(I31:I38,I41)</f>
        <v/>
      </c>
      <c r="J30" s="2908">
        <f>SUM(J31:J38,J41)</f>
        <v/>
      </c>
      <c r="K30" s="2908">
        <f>SUM(K31:K38,K41)</f>
        <v/>
      </c>
    </row>
    <row r="31" ht="12.75" customHeight="1" s="2828">
      <c r="A31" s="1215" t="inlineStr">
        <is>
          <t>Whole of Life</t>
        </is>
      </c>
      <c r="B31" s="2909" t="n">
        <v>12500</v>
      </c>
      <c r="C31" s="2909" t="n"/>
      <c r="D31" s="2908" t="n">
        <v>12500</v>
      </c>
      <c r="E31" s="2909" t="n"/>
      <c r="F31" s="2908">
        <f>D31-E31</f>
        <v/>
      </c>
      <c r="G31" s="1212" t="n"/>
      <c r="H31" s="2909" t="n"/>
      <c r="I31" s="2909" t="n"/>
      <c r="J31" s="2909" t="n"/>
      <c r="K31" s="2909" t="n"/>
    </row>
    <row r="32" ht="12.75" customHeight="1" s="2828">
      <c r="A32" s="1215" t="inlineStr">
        <is>
          <t>Endowment</t>
        </is>
      </c>
      <c r="B32" s="2909" t="n">
        <v>3800</v>
      </c>
      <c r="C32" s="2909" t="n"/>
      <c r="D32" s="2908" t="n">
        <v>3800</v>
      </c>
      <c r="E32" s="2909" t="n"/>
      <c r="F32" s="2908">
        <f>D32-E32</f>
        <v/>
      </c>
      <c r="G32" s="1212" t="n"/>
      <c r="H32" s="2909" t="n"/>
      <c r="I32" s="2909" t="n"/>
      <c r="J32" s="2909" t="n"/>
      <c r="K32" s="2909" t="n"/>
    </row>
    <row r="33" ht="12.75" customHeight="1" s="2828">
      <c r="A33" s="1215" t="inlineStr">
        <is>
          <t>Immediate and Deferred Annuities</t>
        </is>
      </c>
      <c r="B33" s="2909" t="n">
        <v>1200</v>
      </c>
      <c r="C33" s="2909" t="n"/>
      <c r="D33" s="2908" t="n">
        <v>1200</v>
      </c>
      <c r="E33" s="2909" t="n"/>
      <c r="F33" s="2908">
        <f>D33-E33</f>
        <v/>
      </c>
      <c r="G33" s="1212" t="n"/>
      <c r="H33" s="2909" t="n"/>
      <c r="I33" s="2909" t="n"/>
      <c r="J33" s="2909" t="n"/>
      <c r="K33" s="2909" t="n"/>
    </row>
    <row r="34" ht="12.75" customHeight="1" s="2828">
      <c r="A34" s="1217" t="inlineStr">
        <is>
          <t>Term</t>
        </is>
      </c>
      <c r="B34" s="2909" t="n">
        <v>500</v>
      </c>
      <c r="C34" s="2909" t="n"/>
      <c r="D34" s="2908" t="n">
        <v>500</v>
      </c>
      <c r="E34" s="2909" t="n"/>
      <c r="F34" s="2908">
        <f>D34-E34</f>
        <v/>
      </c>
      <c r="G34" s="1212" t="n"/>
      <c r="H34" s="2909" t="n"/>
      <c r="I34" s="2909" t="n"/>
      <c r="J34" s="2909" t="n"/>
      <c r="K34" s="2909" t="n"/>
    </row>
    <row r="35" ht="12.75" customHeight="1" s="2828">
      <c r="A35" s="1215" t="inlineStr">
        <is>
          <t>A&amp;H (Medical)</t>
        </is>
      </c>
      <c r="B35" s="2909" t="n"/>
      <c r="C35" s="2909" t="n"/>
      <c r="D35" s="2908">
        <f>B35+C35</f>
        <v/>
      </c>
      <c r="E35" s="2909" t="n"/>
      <c r="F35" s="2908">
        <f>D35-E35</f>
        <v/>
      </c>
      <c r="G35" s="1212" t="n"/>
      <c r="H35" s="2909" t="n"/>
      <c r="I35" s="2909" t="n"/>
      <c r="J35" s="2909" t="n"/>
      <c r="K35" s="2909" t="n"/>
    </row>
    <row r="36" ht="12.75" customHeight="1" s="2828">
      <c r="A36" s="1217" t="inlineStr">
        <is>
          <t>A&amp;H (Critical Illness)</t>
        </is>
      </c>
      <c r="B36" s="2909" t="n"/>
      <c r="C36" s="2909" t="n"/>
      <c r="D36" s="2908">
        <f>B36+C36</f>
        <v/>
      </c>
      <c r="E36" s="2909" t="n"/>
      <c r="F36" s="2908">
        <f>D36-E36</f>
        <v/>
      </c>
      <c r="G36" s="1212" t="n"/>
      <c r="H36" s="2909" t="n"/>
      <c r="I36" s="2909" t="n"/>
      <c r="J36" s="2909" t="n"/>
      <c r="K36" s="2909" t="n"/>
    </row>
    <row r="37" ht="12.75" customHeight="1" s="2828">
      <c r="A37" s="1215" t="inlineStr">
        <is>
          <t>A&amp;H (Accident &amp; Disability)</t>
        </is>
      </c>
      <c r="B37" s="2909" t="n"/>
      <c r="C37" s="2909" t="n"/>
      <c r="D37" s="2908">
        <f>B37+C37</f>
        <v/>
      </c>
      <c r="E37" s="2909" t="n"/>
      <c r="F37" s="2908">
        <f>D37-E37</f>
        <v/>
      </c>
      <c r="G37" s="1212" t="n"/>
      <c r="H37" s="2909" t="n"/>
      <c r="I37" s="2909" t="n"/>
      <c r="J37" s="2909" t="n"/>
      <c r="K37" s="2909" t="n"/>
    </row>
    <row r="38" ht="12.75" customHeight="1" s="2828">
      <c r="A38" s="1217" t="inlineStr">
        <is>
          <t>Policyholders' Funds on Deposit (FOD)</t>
        </is>
      </c>
      <c r="B38" s="2908">
        <f>SUM(B39:B40)</f>
        <v/>
      </c>
      <c r="C38" s="2908">
        <f>SUM(C39:C40)</f>
        <v/>
      </c>
      <c r="D38" s="2908">
        <f>B38+C38</f>
        <v/>
      </c>
      <c r="E38" s="2908">
        <f>SUM(E39:E40)</f>
        <v/>
      </c>
      <c r="F38" s="2908">
        <f>D38-E38</f>
        <v/>
      </c>
      <c r="G38" s="1212" t="n"/>
      <c r="H38" s="2908">
        <f>SUM(H39:H40)</f>
        <v/>
      </c>
      <c r="I38" s="2908">
        <f>SUM(I39:I40)</f>
        <v/>
      </c>
      <c r="J38" s="2908">
        <f>SUM(J39:J40)</f>
        <v/>
      </c>
      <c r="K38" s="2908">
        <f>SUM(K39:K40)</f>
        <v/>
      </c>
    </row>
    <row r="39" ht="12.75" customHeight="1" s="2828">
      <c r="A39" s="1216" t="inlineStr">
        <is>
          <t>FOD (Account Balance)</t>
        </is>
      </c>
      <c r="B39" s="2909" t="n"/>
      <c r="C39" s="2910" t="n"/>
      <c r="D39" s="2908">
        <f>B39+C39</f>
        <v/>
      </c>
      <c r="E39" s="2909" t="n"/>
      <c r="F39" s="2908">
        <f>D39-E39</f>
        <v/>
      </c>
      <c r="G39" s="1212" t="n"/>
      <c r="H39" s="2909" t="n"/>
      <c r="I39" s="2909" t="n"/>
      <c r="J39" s="2909" t="n"/>
      <c r="K39" s="2909" t="n"/>
    </row>
    <row r="40" ht="12.75" customHeight="1" s="2828">
      <c r="A40" s="1216" t="inlineStr">
        <is>
          <t>FOD (Other Reserves)</t>
        </is>
      </c>
      <c r="B40" s="2909" t="n"/>
      <c r="C40" s="2909" t="n"/>
      <c r="D40" s="2908">
        <f>B40+C40</f>
        <v/>
      </c>
      <c r="E40" s="2909" t="n"/>
      <c r="F40" s="2908">
        <f>D40-E40</f>
        <v/>
      </c>
      <c r="G40" s="1212" t="n"/>
      <c r="H40" s="2909" t="n"/>
      <c r="I40" s="2909" t="n"/>
      <c r="J40" s="2909" t="n"/>
      <c r="K40" s="2909" t="n"/>
    </row>
    <row r="41" ht="12.75" customHeight="1" s="2828">
      <c r="A41" s="1215" t="inlineStr">
        <is>
          <t>Others</t>
        </is>
      </c>
      <c r="B41" s="2909" t="n"/>
      <c r="C41" s="2909" t="n"/>
      <c r="D41" s="2908">
        <f>B41+C41</f>
        <v/>
      </c>
      <c r="E41" s="2909" t="n"/>
      <c r="F41" s="2908">
        <f>D41-E41</f>
        <v/>
      </c>
      <c r="G41" s="1212" t="n"/>
      <c r="H41" s="2909" t="n"/>
      <c r="I41" s="2909" t="n"/>
      <c r="J41" s="2909" t="n"/>
      <c r="K41" s="2909" t="n"/>
    </row>
    <row r="42" ht="12.75" customHeight="1" s="2828">
      <c r="A42" s="1213" t="inlineStr">
        <is>
          <t>Other Businesses</t>
        </is>
      </c>
      <c r="B42" s="2908" t="n">
        <v>5650</v>
      </c>
      <c r="C42" s="2908">
        <f>SUM(C43:C46,C58,C49:C55)</f>
        <v/>
      </c>
      <c r="D42" s="2908" t="n">
        <v>5650</v>
      </c>
      <c r="E42" s="2908">
        <f>SUM(E43:E46,E58,E49:E55)</f>
        <v/>
      </c>
      <c r="F42" s="2908">
        <f>D42-E42</f>
        <v/>
      </c>
      <c r="G42" s="1212" t="n"/>
      <c r="H42" s="2908">
        <f>SUM(H43:H46,H58,H49:H55)</f>
        <v/>
      </c>
      <c r="I42" s="2908">
        <f>SUM(I43:I46,I58,I49:I55)</f>
        <v/>
      </c>
      <c r="J42" s="2908">
        <f>SUM(J43:J46,J58,J49:J55)</f>
        <v/>
      </c>
      <c r="K42" s="2908">
        <f>SUM(K43:K46,K58,K49:K55)</f>
        <v/>
      </c>
    </row>
    <row r="43" ht="12.75" customHeight="1" s="2828">
      <c r="A43" s="1215" t="inlineStr">
        <is>
          <t>Whole of Life</t>
        </is>
      </c>
      <c r="B43" s="2911" t="n">
        <v>12500</v>
      </c>
      <c r="C43" s="2911" t="n"/>
      <c r="D43" s="2908" t="n">
        <v>12500</v>
      </c>
      <c r="E43" s="2911" t="n"/>
      <c r="F43" s="2908">
        <f>D43-E43</f>
        <v/>
      </c>
      <c r="G43" s="1212" t="n"/>
      <c r="H43" s="2911" t="n"/>
      <c r="I43" s="2911" t="n"/>
      <c r="J43" s="2911" t="n"/>
      <c r="K43" s="2911" t="n"/>
    </row>
    <row r="44" ht="12.75" customHeight="1" s="2828">
      <c r="A44" s="1215" t="inlineStr">
        <is>
          <t>Endowment</t>
        </is>
      </c>
      <c r="B44" s="2909" t="n">
        <v>3800</v>
      </c>
      <c r="C44" s="2909" t="n"/>
      <c r="D44" s="2908" t="n">
        <v>3800</v>
      </c>
      <c r="E44" s="2909" t="n"/>
      <c r="F44" s="2908">
        <f>D44-E44</f>
        <v/>
      </c>
      <c r="G44" s="1212" t="n"/>
      <c r="H44" s="2909" t="n"/>
      <c r="I44" s="2909" t="n"/>
      <c r="J44" s="2909" t="n"/>
      <c r="K44" s="2909" t="n"/>
    </row>
    <row r="45" ht="12.75" customHeight="1" s="2828">
      <c r="A45" s="1215" t="inlineStr">
        <is>
          <t>Immediate and Deferred Annuities</t>
        </is>
      </c>
      <c r="B45" s="2909" t="n">
        <v>1200</v>
      </c>
      <c r="C45" s="2909" t="n"/>
      <c r="D45" s="2908" t="n">
        <v>1200</v>
      </c>
      <c r="E45" s="2909" t="n"/>
      <c r="F45" s="2908">
        <f>D45-E45</f>
        <v/>
      </c>
      <c r="G45" s="1212" t="n"/>
      <c r="H45" s="2909" t="n"/>
      <c r="I45" s="2909" t="n"/>
      <c r="J45" s="2909" t="n"/>
      <c r="K45" s="2909" t="n"/>
    </row>
    <row r="46" ht="12.75" customHeight="1" s="2828">
      <c r="A46" s="1215" t="inlineStr">
        <is>
          <t>Universal Life</t>
        </is>
      </c>
      <c r="B46" s="2908" t="n">
        <v>4100</v>
      </c>
      <c r="C46" s="2908">
        <f>SUM(C47:C48)</f>
        <v/>
      </c>
      <c r="D46" s="2908" t="n">
        <v>4100</v>
      </c>
      <c r="E46" s="2908">
        <f>SUM(E47:E48)</f>
        <v/>
      </c>
      <c r="F46" s="2908">
        <f>D46-E46</f>
        <v/>
      </c>
      <c r="G46" s="1212" t="n"/>
      <c r="H46" s="2908">
        <f>SUM(H47:H48)</f>
        <v/>
      </c>
      <c r="I46" s="2908">
        <f>SUM(I47:I48)</f>
        <v/>
      </c>
      <c r="J46" s="2908">
        <f>SUM(J47:J48)</f>
        <v/>
      </c>
      <c r="K46" s="2908">
        <f>SUM(K47:K48)</f>
        <v/>
      </c>
    </row>
    <row r="47" ht="12.75" customHeight="1" s="2828">
      <c r="A47" s="1216" t="inlineStr">
        <is>
          <t>Universal Life (Account Balance)</t>
        </is>
      </c>
      <c r="B47" s="2909" t="n">
        <v>4100</v>
      </c>
      <c r="C47" s="2910" t="n"/>
      <c r="D47" s="2908" t="n">
        <v>4100</v>
      </c>
      <c r="E47" s="2909" t="n"/>
      <c r="F47" s="2908">
        <f>D47-E47</f>
        <v/>
      </c>
      <c r="G47" s="1212" t="n"/>
      <c r="H47" s="2909" t="n"/>
      <c r="I47" s="2909" t="n"/>
      <c r="J47" s="2909" t="n"/>
      <c r="K47" s="2909" t="n"/>
    </row>
    <row r="48" ht="12.75" customHeight="1" s="2828">
      <c r="A48" s="1216" t="inlineStr">
        <is>
          <t>Universal Life (Other Reserves)</t>
        </is>
      </c>
      <c r="B48" s="2909" t="n">
        <v>4100</v>
      </c>
      <c r="C48" s="2909" t="n"/>
      <c r="D48" s="2908" t="n">
        <v>4100</v>
      </c>
      <c r="E48" s="2909" t="n"/>
      <c r="F48" s="2908">
        <f>D48-E48</f>
        <v/>
      </c>
      <c r="G48" s="1212" t="n"/>
      <c r="H48" s="2909" t="n"/>
      <c r="I48" s="2909" t="n"/>
      <c r="J48" s="2909" t="n"/>
      <c r="K48" s="2909" t="n"/>
    </row>
    <row r="49" ht="12.75" customHeight="1" s="2828">
      <c r="A49" s="1215" t="inlineStr">
        <is>
          <t>Term</t>
        </is>
      </c>
      <c r="B49" s="2909" t="n">
        <v>500</v>
      </c>
      <c r="C49" s="2909" t="n"/>
      <c r="D49" s="2908" t="n">
        <v>500</v>
      </c>
      <c r="E49" s="2909" t="n"/>
      <c r="F49" s="2908">
        <f>D49-E49</f>
        <v/>
      </c>
      <c r="G49" s="1212" t="n"/>
      <c r="H49" s="2909" t="n"/>
      <c r="I49" s="2909" t="n"/>
      <c r="J49" s="2909" t="n"/>
      <c r="K49" s="2909" t="n"/>
    </row>
    <row r="50" ht="12.75" customHeight="1" s="2828">
      <c r="A50" s="1217" t="inlineStr">
        <is>
          <t>A&amp;H (Medical)</t>
        </is>
      </c>
      <c r="B50" s="2909" t="n"/>
      <c r="C50" s="2909" t="n"/>
      <c r="D50" s="2908">
        <f>B50+C50</f>
        <v/>
      </c>
      <c r="E50" s="2909" t="n"/>
      <c r="F50" s="2908">
        <f>D50-E50</f>
        <v/>
      </c>
      <c r="G50" s="1212" t="n"/>
      <c r="H50" s="2909" t="n"/>
      <c r="I50" s="2909" t="n"/>
      <c r="J50" s="2909" t="n"/>
      <c r="K50" s="2909" t="n"/>
    </row>
    <row r="51" ht="12.75" customHeight="1" s="2828">
      <c r="A51" s="1215" t="inlineStr">
        <is>
          <t>A&amp;H (Critical Illness)</t>
        </is>
      </c>
      <c r="B51" s="2909" t="n"/>
      <c r="C51" s="2909" t="n"/>
      <c r="D51" s="2908">
        <f>B51+C51</f>
        <v/>
      </c>
      <c r="E51" s="2909" t="n"/>
      <c r="F51" s="2908">
        <f>D51-E51</f>
        <v/>
      </c>
      <c r="G51" s="1212" t="n"/>
      <c r="H51" s="2909" t="n"/>
      <c r="I51" s="2909" t="n"/>
      <c r="J51" s="2909" t="n"/>
      <c r="K51" s="2909" t="n"/>
    </row>
    <row r="52" ht="12.75" customHeight="1" s="2828">
      <c r="A52" s="1215" t="inlineStr">
        <is>
          <t>A&amp;H (Accident &amp; Disability)</t>
        </is>
      </c>
      <c r="B52" s="2909" t="n"/>
      <c r="C52" s="2909" t="n"/>
      <c r="D52" s="2908">
        <f>B52+C52</f>
        <v/>
      </c>
      <c r="E52" s="2909" t="n"/>
      <c r="F52" s="2908">
        <f>D52-E52</f>
        <v/>
      </c>
      <c r="G52" s="1212" t="n"/>
      <c r="H52" s="2909" t="n"/>
      <c r="I52" s="2909" t="n"/>
      <c r="J52" s="2909" t="n"/>
      <c r="K52" s="2909" t="n"/>
    </row>
    <row r="53" ht="12.75" customHeight="1" s="2828">
      <c r="A53" s="1215" t="inlineStr">
        <is>
          <t>Group Life</t>
        </is>
      </c>
      <c r="B53" s="2909" t="n">
        <v>1050</v>
      </c>
      <c r="C53" s="2909" t="n"/>
      <c r="D53" s="2908" t="n">
        <v>1050</v>
      </c>
      <c r="E53" s="2909" t="n"/>
      <c r="F53" s="2908">
        <f>D53-E53</f>
        <v/>
      </c>
      <c r="G53" s="1212" t="n"/>
      <c r="H53" s="2909" t="n"/>
      <c r="I53" s="2909" t="n"/>
      <c r="J53" s="2909" t="n"/>
      <c r="K53" s="2909" t="n"/>
    </row>
    <row r="54" ht="12.75" customHeight="1" s="2828">
      <c r="A54" s="1215" t="inlineStr">
        <is>
          <t>Other Group Business</t>
        </is>
      </c>
      <c r="B54" s="2909" t="n">
        <v>500</v>
      </c>
      <c r="C54" s="2909" t="n"/>
      <c r="D54" s="2908" t="n">
        <v>500</v>
      </c>
      <c r="E54" s="2909" t="n"/>
      <c r="F54" s="2908">
        <f>D54-E54</f>
        <v/>
      </c>
      <c r="G54" s="1212" t="n"/>
      <c r="H54" s="2909" t="n"/>
      <c r="I54" s="2909" t="n"/>
      <c r="J54" s="2909" t="n"/>
      <c r="K54" s="2909" t="n"/>
    </row>
    <row r="55" ht="12.75" customHeight="1" s="2828">
      <c r="A55" s="1217" t="inlineStr">
        <is>
          <t>Policyholders' Funds on Deposit (FOD)</t>
        </is>
      </c>
      <c r="B55" s="2908">
        <f>SUM(B56:B57)</f>
        <v/>
      </c>
      <c r="C55" s="2908">
        <f>SUM(C56:C57)</f>
        <v/>
      </c>
      <c r="D55" s="2908">
        <f>B55+C55</f>
        <v/>
      </c>
      <c r="E55" s="2908">
        <f>SUM(E56:E57)</f>
        <v/>
      </c>
      <c r="F55" s="2908">
        <f>D55-E55</f>
        <v/>
      </c>
      <c r="G55" s="1212" t="n"/>
      <c r="H55" s="2908">
        <f>SUM(H56:H57)</f>
        <v/>
      </c>
      <c r="I55" s="2908">
        <f>SUM(I56:I57)</f>
        <v/>
      </c>
      <c r="J55" s="2908">
        <f>SUM(J56:J57)</f>
        <v/>
      </c>
      <c r="K55" s="2908">
        <f>SUM(K56:K57)</f>
        <v/>
      </c>
    </row>
    <row r="56" ht="12.75" customHeight="1" s="2828">
      <c r="A56" s="1216" t="inlineStr">
        <is>
          <t>FOD (Account Balance)</t>
        </is>
      </c>
      <c r="B56" s="2909" t="n"/>
      <c r="C56" s="2910" t="n"/>
      <c r="D56" s="2908">
        <f>B56+C56</f>
        <v/>
      </c>
      <c r="E56" s="2909" t="n"/>
      <c r="F56" s="2908">
        <f>D56-E56</f>
        <v/>
      </c>
      <c r="G56" s="1212" t="n"/>
      <c r="H56" s="2912" t="n"/>
      <c r="I56" s="2912" t="n"/>
      <c r="J56" s="2912" t="n"/>
      <c r="K56" s="2912" t="n"/>
    </row>
    <row r="57" ht="12.75" customHeight="1" s="2828">
      <c r="A57" s="1216" t="inlineStr">
        <is>
          <t>FOD (Other Reserves)</t>
        </is>
      </c>
      <c r="B57" s="2909" t="n"/>
      <c r="C57" s="2909" t="n"/>
      <c r="D57" s="2908">
        <f>B57+C57</f>
        <v/>
      </c>
      <c r="E57" s="2909" t="n"/>
      <c r="F57" s="2908">
        <f>D57-E57</f>
        <v/>
      </c>
      <c r="G57" s="1212" t="n"/>
      <c r="H57" s="2912" t="n"/>
      <c r="I57" s="2912" t="n"/>
      <c r="J57" s="2912" t="n"/>
      <c r="K57" s="2912" t="n"/>
    </row>
    <row r="58" ht="12.75" customHeight="1" s="2828">
      <c r="A58" s="1218" t="inlineStr">
        <is>
          <t>Others</t>
        </is>
      </c>
      <c r="B58" s="2909" t="n"/>
      <c r="C58" s="2909" t="n"/>
      <c r="D58" s="2908">
        <f>B58+C58</f>
        <v/>
      </c>
      <c r="E58" s="2909" t="n"/>
      <c r="F58" s="2908">
        <f>D58-E58</f>
        <v/>
      </c>
      <c r="G58" s="1212" t="n"/>
      <c r="H58" s="2912" t="n"/>
      <c r="I58" s="2912" t="n"/>
      <c r="J58" s="2912" t="n"/>
      <c r="K58" s="2912" t="n"/>
    </row>
    <row r="60" ht="12.75" customHeight="1" s="2828">
      <c r="A60" s="1108" t="n"/>
      <c r="B60" s="1077" t="inlineStr">
        <is>
          <t>Item 1 Source</t>
        </is>
      </c>
      <c r="C60" s="1077" t="inlineStr">
        <is>
          <t>Item 1 Value</t>
        </is>
      </c>
      <c r="D60" s="1077" t="inlineStr">
        <is>
          <t>Item 2 Value</t>
        </is>
      </c>
      <c r="E60" s="1077" t="inlineStr">
        <is>
          <t>Tolerance</t>
        </is>
      </c>
      <c r="F60" s="1077" t="inlineStr">
        <is>
          <t>Check</t>
        </is>
      </c>
    </row>
    <row r="61" ht="25.5" customHeight="1" s="2828">
      <c r="A61" s="23" t="inlineStr">
        <is>
          <t>Check (Gross CE of Linked Long Term (Class C) business)</t>
        </is>
      </c>
      <c r="B61" s="1109" t="inlineStr">
        <is>
          <t>F.LT.1.1 / F.1</t>
        </is>
      </c>
      <c r="C61" s="2913">
        <f>D12</f>
        <v/>
      </c>
      <c r="D61" s="2913">
        <f>'F.1 EBS'!C91</f>
        <v/>
      </c>
      <c r="E61" s="1078" t="n">
        <v>1</v>
      </c>
      <c r="F61" s="999">
        <f>IF(ABS(D61-C61)&lt;=E61,"OK","Error")</f>
        <v/>
      </c>
    </row>
    <row r="62" ht="25.5" customHeight="1" s="2828">
      <c r="A62" s="23" t="inlineStr">
        <is>
          <t>Check (Gross CE of Retirement Scheme Category I (Class G) business)</t>
        </is>
      </c>
      <c r="B62" s="1109" t="inlineStr">
        <is>
          <t>F.LT.1.1 / F.1</t>
        </is>
      </c>
      <c r="C62" s="2913">
        <f>D24</f>
        <v/>
      </c>
      <c r="D62" s="2913">
        <f>'F.1 EBS'!D91</f>
        <v/>
      </c>
      <c r="E62" s="1078" t="n">
        <v>1</v>
      </c>
      <c r="F62" s="999">
        <f>IF(ABS(D62-C62)&lt;=E62,"OK","Error")</f>
        <v/>
      </c>
    </row>
    <row r="63" ht="25.5" customHeight="1" s="2828">
      <c r="A63" s="23" t="inlineStr">
        <is>
          <t>Check (Gross CE of Retirement Scheme Category II (Class H) business)</t>
        </is>
      </c>
      <c r="B63" s="1109" t="inlineStr">
        <is>
          <t>F.LT.1.1 / F.1</t>
        </is>
      </c>
      <c r="C63" s="2913">
        <f>D27</f>
        <v/>
      </c>
      <c r="D63" s="2913">
        <f>'F.1 EBS'!E91</f>
        <v/>
      </c>
      <c r="E63" s="1078" t="n">
        <v>1</v>
      </c>
      <c r="F63" s="999">
        <f>IF(ABS(D63-C63)&lt;=E63,"OK","Error")</f>
        <v/>
      </c>
    </row>
    <row r="64" ht="12.75" customHeight="1" s="2828">
      <c r="A64" s="23" t="inlineStr">
        <is>
          <t>Check (Gross CE of Participating business)</t>
        </is>
      </c>
      <c r="B64" s="1109" t="inlineStr">
        <is>
          <t>F.LT.1.1 / F.1</t>
        </is>
      </c>
      <c r="C64" s="2913">
        <f>D30</f>
        <v/>
      </c>
      <c r="D64" s="2913">
        <f>'F.1 EBS'!F91</f>
        <v/>
      </c>
      <c r="E64" s="1078" t="n">
        <v>1</v>
      </c>
      <c r="F64" s="999">
        <f>IF(ABS(D64-C64)&lt;=E64,"OK","Error")</f>
        <v/>
      </c>
    </row>
    <row r="65" ht="12.6" customHeight="1" s="2828">
      <c r="A65" s="23" t="inlineStr">
        <is>
          <t>Check (Gross CE of Other businesses)</t>
        </is>
      </c>
      <c r="B65" s="1109" t="inlineStr">
        <is>
          <t>F.LT.1.1 / F.1</t>
        </is>
      </c>
      <c r="C65" s="2913">
        <f>D42</f>
        <v/>
      </c>
      <c r="D65" s="2913">
        <f>'F.1 EBS'!G91</f>
        <v/>
      </c>
      <c r="E65" s="1078" t="n">
        <v>1</v>
      </c>
      <c r="F65" s="999">
        <f>IF(ABS(D65-C65)&lt;=E65,"OK","Error")</f>
        <v/>
      </c>
    </row>
    <row r="66" ht="12.6" customHeight="1" s="2828">
      <c r="A66" s="23" t="inlineStr">
        <is>
          <t>Check (Gross CE of Offshore RI business)</t>
        </is>
      </c>
      <c r="B66" s="1109" t="inlineStr">
        <is>
          <t>F.LT.1.1 / F.1</t>
        </is>
      </c>
      <c r="C66" s="2913">
        <f>IF('F.1 EBS'!$H$8="Yes",K11,"N/A")</f>
        <v/>
      </c>
      <c r="D66" s="2913">
        <f>IF('F.1 EBS'!$H$8="Yes",'F.1 EBS'!H91,"N/A")</f>
        <v/>
      </c>
      <c r="E66" s="1078" t="n">
        <v>1</v>
      </c>
      <c r="F66" s="999">
        <f>IF('F.1 EBS'!$H$8="Yes",IF(ABS(D66-C66)&lt;=E66,"OK","Error"),"N/A")</f>
        <v/>
      </c>
    </row>
    <row r="67">
      <c r="A67" s="23" t="inlineStr">
        <is>
          <t>Check (Total Gross CE)</t>
        </is>
      </c>
      <c r="B67" s="1109" t="inlineStr">
        <is>
          <t>F.LT.1.1 / F.1</t>
        </is>
      </c>
      <c r="C67" s="2913">
        <f>SUM(H11:K11)</f>
        <v/>
      </c>
      <c r="D67" s="2913">
        <f>'F.1 EBS'!B91</f>
        <v/>
      </c>
      <c r="E67" s="1078" t="n">
        <v>1</v>
      </c>
      <c r="F67" s="999">
        <f>IF(ABS(D67-C67)&lt;=E67,"OK","Error")</f>
        <v/>
      </c>
    </row>
  </sheetData>
  <mergeCells count="6">
    <mergeCell ref="B2:C2"/>
    <mergeCell ref="H9:K9"/>
    <mergeCell ref="B4:C4"/>
    <mergeCell ref="A9:A10"/>
    <mergeCell ref="B3:C3"/>
    <mergeCell ref="B9:F9"/>
  </mergeCells>
  <conditionalFormatting sqref="F61:F67">
    <cfRule type="cellIs" priority="1" operator="equal" dxfId="1">
      <formula>"OK"</formula>
    </cfRule>
    <cfRule type="cellIs" priority="2" operator="equal" dxfId="0">
      <formula>"Error"</formula>
    </cfRule>
  </conditionalFormatting>
  <dataValidations count="1">
    <dataValidation sqref="B14 B15:C15 B17 B18:C23 B25:B26 B28:B29 B31:C37 B39:B41 B43:C45 B47:B54 B56:B58 C26 C29 C40:C41 C48:C54 C57:C58 E14:E15 E17:E23 E25:E26 E28:E29 E31:E37 E39:E41 E43:E45 E47:E54 E56:E58 H14:K15 H17:K23 H25:K26 H28:K29 H31:K37 H39:K41 H43:K45 H47:K54 H56:K58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7" right="0.7" top="0.75" bottom="0.75" header="0.3" footer="0.3"/>
  <pageSetup orientation="landscape" paperSize="8" scale="76"/>
</worksheet>
</file>

<file path=xl/worksheets/sheet3.xml><?xml version="1.0" encoding="utf-8"?>
<worksheet xmlns="http://schemas.openxmlformats.org/spreadsheetml/2006/main">
  <sheetPr codeName="Sheet60">
    <outlinePr summaryBelow="1" summaryRight="1"/>
    <pageSetUpPr fitToPage="1"/>
  </sheetPr>
  <dimension ref="A1:F56"/>
  <sheetViews>
    <sheetView topLeftCell="B1" zoomScale="80" zoomScaleNormal="80" workbookViewId="0">
      <selection activeCell="B1" sqref="B1"/>
    </sheetView>
  </sheetViews>
  <sheetFormatPr baseColWidth="8" defaultColWidth="9.42578125" defaultRowHeight="12.75"/>
  <cols>
    <col hidden="1" width="2.42578125" customWidth="1" style="134" min="1" max="1"/>
    <col width="51.5703125" customWidth="1" style="134" min="2" max="2"/>
    <col width="21.42578125" customWidth="1" style="26" min="3" max="3"/>
    <col width="20.42578125" customWidth="1" style="26" min="4" max="6"/>
    <col width="3.42578125" customWidth="1" style="26" min="7" max="7"/>
    <col width="9.42578125" customWidth="1" style="26" min="8" max="16384"/>
  </cols>
  <sheetData>
    <row r="1" ht="15" customHeight="1" s="2828">
      <c r="A1" s="26" t="n"/>
      <c r="B1" s="937" t="inlineStr">
        <is>
          <t>CA.1 Summary of capital requirements</t>
        </is>
      </c>
      <c r="C1" s="25" t="n"/>
      <c r="D1" s="25" t="n"/>
      <c r="E1" s="25" t="n"/>
      <c r="F1" s="25" t="n"/>
    </row>
    <row r="2" ht="15" customHeight="1" s="2828">
      <c r="B2" s="900" t="inlineStr">
        <is>
          <t>Name of Insurer:</t>
        </is>
      </c>
      <c r="C2" s="901">
        <f>'Cover Page'!F15</f>
        <v/>
      </c>
    </row>
    <row r="3" ht="15" customHeight="1" s="2828">
      <c r="B3" s="900" t="inlineStr">
        <is>
          <t>Valuation Date:</t>
        </is>
      </c>
      <c r="C3" s="901" t="inlineStr">
        <is>
          <t>31 Dec 2025</t>
        </is>
      </c>
    </row>
    <row r="4" ht="15" customHeight="1" s="2828">
      <c r="B4" s="900" t="inlineStr">
        <is>
          <t>Reporting Period:</t>
        </is>
      </c>
      <c r="C4" s="903" t="n"/>
    </row>
    <row r="5" hidden="1" ht="12.75" customHeight="1" s="2828"/>
    <row r="6" ht="12.75" customHeight="1" s="2828">
      <c r="B6" s="134" t="inlineStr">
        <is>
          <t>(Unit: in HKD thousands)</t>
        </is>
      </c>
    </row>
    <row r="7" ht="12.75" customHeight="1" s="2828">
      <c r="B7" s="1507" t="inlineStr">
        <is>
          <t>Column 1</t>
        </is>
      </c>
      <c r="C7" s="1507" t="inlineStr">
        <is>
          <t>Column 2</t>
        </is>
      </c>
      <c r="D7" s="1507" t="inlineStr">
        <is>
          <t>Column 3</t>
        </is>
      </c>
      <c r="E7" s="1507" t="inlineStr">
        <is>
          <t>Column 4</t>
        </is>
      </c>
      <c r="F7" s="1507" t="inlineStr">
        <is>
          <t>Column 5</t>
        </is>
      </c>
    </row>
    <row r="8" ht="12.75" customHeight="1" s="2828">
      <c r="B8" s="1507" t="n"/>
      <c r="C8" s="2914" t="inlineStr">
        <is>
          <t>As at end of current reporting period (T)</t>
        </is>
      </c>
      <c r="D8" s="2907" t="n"/>
      <c r="E8" s="2907" t="n"/>
      <c r="F8" s="2906" t="n"/>
    </row>
    <row r="9" ht="12.75" customHeight="1" s="2828">
      <c r="B9" s="2850" t="n"/>
      <c r="C9" s="2372" t="inlineStr">
        <is>
          <t xml:space="preserve">Total </t>
        </is>
      </c>
      <c r="D9" s="2372" t="inlineStr">
        <is>
          <t>Tier 1 – unlimited</t>
        </is>
      </c>
      <c r="E9" s="2362" t="inlineStr">
        <is>
          <t>Tier 1 – limited</t>
        </is>
      </c>
      <c r="F9" s="2362" t="inlineStr">
        <is>
          <t>Tier 2</t>
        </is>
      </c>
    </row>
    <row r="10" ht="12.75" customHeight="1" s="2828">
      <c r="B10" s="1085" t="inlineStr">
        <is>
          <t>Eligible capital</t>
        </is>
      </c>
      <c r="C10" s="2915" t="n"/>
      <c r="D10" s="2915" t="n"/>
      <c r="E10" s="2915" t="n"/>
      <c r="F10" s="2915" t="n"/>
    </row>
    <row r="11" ht="14.25" customHeight="1" s="2828">
      <c r="B11" s="2795" t="inlineStr">
        <is>
          <t>Total eligible capital</t>
        </is>
      </c>
      <c r="C11" s="2916" t="n">
        <v>11800</v>
      </c>
      <c r="D11" s="2916">
        <f>'CA.R.1 CB composition'!D41</f>
        <v/>
      </c>
      <c r="E11" s="2916">
        <f>'CA.R.1 CB composition'!E57</f>
        <v/>
      </c>
      <c r="F11" s="2916">
        <f>'CA.R.1 CB composition'!E82</f>
        <v/>
      </c>
    </row>
    <row r="12" ht="14.25" customHeight="1" s="2828">
      <c r="B12" s="2795" t="inlineStr">
        <is>
          <t>Total Tier 1 eligible capital</t>
        </is>
      </c>
      <c r="C12" s="2916" t="n">
        <v>11800</v>
      </c>
      <c r="D12" s="2916">
        <f>'CA.R.1 CB composition'!D41</f>
        <v/>
      </c>
      <c r="E12" s="2916">
        <f>'CA.R.1 CB composition'!E57</f>
        <v/>
      </c>
      <c r="F12" s="2917" t="n"/>
    </row>
    <row r="13" ht="12.75" customHeight="1" s="2828">
      <c r="B13" s="1508" t="n"/>
      <c r="C13" s="27" t="n"/>
      <c r="D13" s="27" t="n"/>
    </row>
    <row r="14" ht="60" customHeight="1" s="2828">
      <c r="A14" s="1509" t="n"/>
      <c r="B14" s="900" t="n"/>
      <c r="C14" s="2372" t="inlineStr">
        <is>
          <t>Diversified PCA/RCA</t>
        </is>
      </c>
      <c r="D14" s="2372" t="inlineStr">
        <is>
          <t>RCA after additional management action on FDB</t>
        </is>
      </c>
      <c r="E14" s="2372" t="inlineStr">
        <is>
          <t>RCA before additional management action on FDB</t>
        </is>
      </c>
    </row>
    <row r="15" ht="12.75" customHeight="1" s="2828">
      <c r="A15" s="1509" t="n"/>
      <c r="B15" s="1510" t="inlineStr">
        <is>
          <t>RCA</t>
        </is>
      </c>
      <c r="C15" s="27" t="n"/>
      <c r="D15" s="27" t="n"/>
    </row>
    <row r="16" ht="12.75" customHeight="1" s="2828">
      <c r="A16" s="1509" t="n"/>
      <c r="B16" s="1511" t="inlineStr">
        <is>
          <t>Market Risk</t>
        </is>
      </c>
      <c r="C16" s="2918" t="n">
        <v>1950</v>
      </c>
      <c r="D16" s="2919" t="n"/>
      <c r="E16" s="2919" t="n"/>
    </row>
    <row r="17" ht="12.75" customHeight="1" s="2828">
      <c r="A17" s="1509" t="n"/>
      <c r="B17" s="1511" t="inlineStr">
        <is>
          <t xml:space="preserve">  Interest Rate Risk</t>
        </is>
      </c>
      <c r="C17" s="2920" t="n">
        <v>0</v>
      </c>
      <c r="D17" s="2916">
        <f>MAX(0,IF('CA.P.1.A PCA Summary NetFDB'!$P$6="Without transition", 'CA.P.1.A PCA Summary NetFDB'!N14,'CA.P.1.A PCA Summary NetFDB'!P14))</f>
        <v/>
      </c>
      <c r="E17" s="2916">
        <f>MAX(0,IF('CA.P.2 PCA Summary GrossFDB'!$P$6="Without transition", 'CA.P.2 PCA Summary GrossFDB'!N14,'CA.P.2 PCA Summary GrossFDB'!P14))</f>
        <v/>
      </c>
    </row>
    <row r="18" ht="12.75" customHeight="1" s="2828">
      <c r="A18" s="1509" t="n"/>
      <c r="B18" s="1511" t="inlineStr">
        <is>
          <t xml:space="preserve">  Credit Spread Risk</t>
        </is>
      </c>
      <c r="C18" s="2920" t="n">
        <v>0</v>
      </c>
      <c r="D18" s="2916">
        <f>MAX(0,IF('CA.P.1.A PCA Summary NetFDB'!$P$6="Without transition", 'CA.P.1.A PCA Summary NetFDB'!N15,'CA.P.1.A PCA Summary NetFDB'!P15))</f>
        <v/>
      </c>
      <c r="E18" s="2916">
        <f>MAX(0,IF('CA.P.2 PCA Summary GrossFDB'!$P$6="Without transition", 'CA.P.2 PCA Summary GrossFDB'!N15,'CA.P.2 PCA Summary GrossFDB'!P15))</f>
        <v/>
      </c>
    </row>
    <row r="19" ht="12.75" customHeight="1" s="2828">
      <c r="A19" s="1509" t="n"/>
      <c r="B19" s="1511" t="inlineStr">
        <is>
          <t xml:space="preserve">  Equity Risk</t>
        </is>
      </c>
      <c r="C19" s="2920" t="n">
        <v>0</v>
      </c>
      <c r="D19" s="2916">
        <f>MAX(0,IF('CA.P.1.A PCA Summary NetFDB'!$P$6="Without transition", 'CA.P.1.A PCA Summary NetFDB'!N16,'CA.P.1.A PCA Summary NetFDB'!P16))</f>
        <v/>
      </c>
      <c r="E19" s="2916">
        <f>MAX(0,IF('CA.P.2 PCA Summary GrossFDB'!$P$6="Without transition", 'CA.P.2 PCA Summary GrossFDB'!N16,'CA.P.2 PCA Summary GrossFDB'!P16))</f>
        <v/>
      </c>
    </row>
    <row r="20" ht="12.75" customHeight="1" s="2828">
      <c r="A20" s="1509" t="n"/>
      <c r="B20" s="1511" t="inlineStr">
        <is>
          <t xml:space="preserve">  Property Risk</t>
        </is>
      </c>
      <c r="C20" s="2920" t="n">
        <v>0</v>
      </c>
      <c r="D20" s="2916">
        <f>MAX(0,IF('CA.P.1.A PCA Summary NetFDB'!$P$6="Without transition", 'CA.P.1.A PCA Summary NetFDB'!N17,'CA.P.1.A PCA Summary NetFDB'!P17))</f>
        <v/>
      </c>
      <c r="E20" s="2916">
        <f>MAX(0,IF('CA.P.2 PCA Summary GrossFDB'!$P$6="Without transition", 'CA.P.2 PCA Summary GrossFDB'!N17,'CA.P.2 PCA Summary GrossFDB'!P17))</f>
        <v/>
      </c>
    </row>
    <row r="21" ht="12.75" customHeight="1" s="2828">
      <c r="A21" s="1509" t="n"/>
      <c r="B21" s="1511" t="inlineStr">
        <is>
          <t xml:space="preserve">  Currency Risk</t>
        </is>
      </c>
      <c r="C21" s="2920" t="n">
        <v>0</v>
      </c>
      <c r="D21" s="2916">
        <f>MAX(0,IF('CA.P.1.A PCA Summary NetFDB'!$P$6="Without transition", 'CA.P.1.A PCA Summary NetFDB'!N18,'CA.P.1.A PCA Summary NetFDB'!P18))</f>
        <v/>
      </c>
      <c r="E21" s="2916">
        <f>MAX(0,IF('CA.P.2 PCA Summary GrossFDB'!$P$6="Without transition", 'CA.P.2 PCA Summary GrossFDB'!N18,'CA.P.2 PCA Summary GrossFDB'!P18))</f>
        <v/>
      </c>
    </row>
    <row r="22" ht="12.75" customHeight="1" s="2828">
      <c r="A22" s="1509" t="n"/>
      <c r="B22" s="1511" t="inlineStr">
        <is>
          <t>Life Insurance Risk</t>
        </is>
      </c>
      <c r="C22" s="2918" t="n">
        <v>3100</v>
      </c>
      <c r="D22" s="2919" t="n"/>
      <c r="E22" s="2919" t="n"/>
    </row>
    <row r="23" ht="12.75" customHeight="1" s="2828">
      <c r="A23" s="1509" t="n"/>
      <c r="B23" s="1511" t="inlineStr">
        <is>
          <t xml:space="preserve">  Mortality Risk</t>
        </is>
      </c>
      <c r="C23" s="2920" t="n">
        <v>820</v>
      </c>
      <c r="D23" s="2916">
        <f>MAX(0,IF('CA.P.1.A PCA Summary NetFDB'!$P$6="Without transition", 'CA.P.1.A PCA Summary NetFDB'!N22,'CA.P.1.A PCA Summary NetFDB'!P22))</f>
        <v/>
      </c>
      <c r="E23" s="2916">
        <f>MAX(0,IF('CA.P.2 PCA Summary GrossFDB'!$P$6="Without transition", 'CA.P.2 PCA Summary GrossFDB'!N22,'CA.P.2 PCA Summary GrossFDB'!P22))</f>
        <v/>
      </c>
    </row>
    <row r="24" ht="12.75" customHeight="1" s="2828">
      <c r="A24" s="1509" t="n"/>
      <c r="B24" s="1511" t="inlineStr">
        <is>
          <t xml:space="preserve">  Longevity Risk</t>
        </is>
      </c>
      <c r="C24" s="2920" t="n">
        <v>90</v>
      </c>
      <c r="D24" s="2916">
        <f>MAX(0,IF('CA.P.1.A PCA Summary NetFDB'!$P$6="Without transition", 'CA.P.1.A PCA Summary NetFDB'!N23,'CA.P.1.A PCA Summary NetFDB'!P23))</f>
        <v/>
      </c>
      <c r="E24" s="2916">
        <f>MAX(0,IF('CA.P.2 PCA Summary GrossFDB'!$P$6="Without transition", 'CA.P.2 PCA Summary GrossFDB'!N23,'CA.P.2 PCA Summary GrossFDB'!P23))</f>
        <v/>
      </c>
    </row>
    <row r="25" ht="12.75" customHeight="1" s="2828">
      <c r="A25" s="1509" t="n"/>
      <c r="B25" s="1511" t="inlineStr">
        <is>
          <t xml:space="preserve">  Life Catastrophe Risk</t>
        </is>
      </c>
      <c r="C25" s="2920" t="n">
        <v>480</v>
      </c>
      <c r="D25" s="2916">
        <f>MAX(0,IF('CA.P.1.A PCA Summary NetFDB'!$P$6="Without transition", 'CA.P.1.A PCA Summary NetFDB'!N24,'CA.P.1.A PCA Summary NetFDB'!P24))</f>
        <v/>
      </c>
      <c r="E25" s="2916">
        <f>MAX(0,IF('CA.P.2 PCA Summary GrossFDB'!$P$6="Without transition", 'CA.P.2 PCA Summary GrossFDB'!N24,'CA.P.2 PCA Summary GrossFDB'!P24))</f>
        <v/>
      </c>
    </row>
    <row r="26" ht="12.75" customHeight="1" s="2828">
      <c r="A26" s="1509" t="n"/>
      <c r="B26" s="1511" t="inlineStr">
        <is>
          <t xml:space="preserve">  Morbidity Risk</t>
        </is>
      </c>
      <c r="C26" s="2920" t="n">
        <v>200</v>
      </c>
      <c r="D26" s="2916">
        <f>MAX(0,IF('CA.P.1.A PCA Summary NetFDB'!$P$6="Without transition", 'CA.P.1.A PCA Summary NetFDB'!N25,'CA.P.1.A PCA Summary NetFDB'!P25))</f>
        <v/>
      </c>
      <c r="E26" s="2916">
        <f>MAX(0,IF('CA.P.2 PCA Summary GrossFDB'!$P$6="Without transition", 'CA.P.2 PCA Summary GrossFDB'!N25,'CA.P.2 PCA Summary GrossFDB'!P25))</f>
        <v/>
      </c>
    </row>
    <row r="27" ht="12.75" customHeight="1" s="2828">
      <c r="A27" s="1509" t="n"/>
      <c r="B27" s="1511" t="inlineStr">
        <is>
          <t xml:space="preserve">  Expense Risk</t>
        </is>
      </c>
      <c r="C27" s="2920" t="n">
        <v>640</v>
      </c>
      <c r="D27" s="2916">
        <f>MAX(0,IF('CA.P.1.A PCA Summary NetFDB'!$P$6="Without transition", 'CA.P.1.A PCA Summary NetFDB'!N26,'CA.P.1.A PCA Summary NetFDB'!P26))</f>
        <v/>
      </c>
      <c r="E27" s="2916">
        <f>MAX(0,IF('CA.P.2 PCA Summary GrossFDB'!$P$6="Without transition", 'CA.P.2 PCA Summary GrossFDB'!N26,'CA.P.2 PCA Summary GrossFDB'!P26))</f>
        <v/>
      </c>
    </row>
    <row r="28" ht="12.75" customHeight="1" s="2828">
      <c r="A28" s="1509" t="n"/>
      <c r="B28" s="1511" t="inlineStr">
        <is>
          <t xml:space="preserve">  Lapse Risk</t>
        </is>
      </c>
      <c r="C28" s="2920" t="n">
        <v>870</v>
      </c>
      <c r="D28" s="2916">
        <f>MAX(0,IF('CA.P.1.A PCA Summary NetFDB'!$P$6="Without transition", 'CA.P.1.A PCA Summary NetFDB'!N27,'CA.P.1.A PCA Summary NetFDB'!P27))</f>
        <v/>
      </c>
      <c r="E28" s="2916">
        <f>MAX(0,IF('CA.P.2 PCA Summary GrossFDB'!$P$6="Without transition", 'CA.P.2 PCA Summary GrossFDB'!N27,'CA.P.2 PCA Summary GrossFDB'!P27))</f>
        <v/>
      </c>
    </row>
    <row r="29" ht="12.75" customHeight="1" s="2828">
      <c r="A29" s="1509" t="n"/>
      <c r="B29" s="1232" t="inlineStr">
        <is>
          <t>General Insurance Risk</t>
        </is>
      </c>
      <c r="C29" s="2918" t="n">
        <v>0</v>
      </c>
      <c r="D29" s="2919" t="n"/>
      <c r="E29" s="2919" t="n"/>
    </row>
    <row r="30" ht="12.75" customHeight="1" s="2828">
      <c r="A30" s="1509" t="n"/>
      <c r="B30" s="1232" t="inlineStr">
        <is>
          <t xml:space="preserve">   General Insurance Risk (excluding Mortgage Insurance)</t>
        </is>
      </c>
      <c r="C30" s="2918" t="n">
        <v>0</v>
      </c>
      <c r="D30" s="2919" t="n"/>
      <c r="E30" s="2919" t="n"/>
    </row>
    <row r="31" ht="12.75" customHeight="1" s="2828">
      <c r="A31" s="1509" t="n"/>
      <c r="B31" s="1232" t="inlineStr">
        <is>
          <t xml:space="preserve">     Reserve &amp; Premium Risk</t>
        </is>
      </c>
      <c r="C31" s="2920" t="n"/>
      <c r="D31" s="2916">
        <f>MAX(0,IF('CA.P.1.A PCA Summary NetFDB'!$P$6="Without transition", 'CA.P.1.A PCA Summary NetFDB'!N32,'CA.P.1.A PCA Summary NetFDB'!P32))</f>
        <v/>
      </c>
      <c r="E31" s="2916">
        <f>MAX(0,IF('CA.P.2 PCA Summary GrossFDB'!$P$6="Without transition", 'CA.P.2 PCA Summary GrossFDB'!N32,'CA.P.2 PCA Summary GrossFDB'!P32))</f>
        <v/>
      </c>
    </row>
    <row r="32" ht="12.75" customHeight="1" s="2828">
      <c r="A32" s="1509" t="n"/>
      <c r="B32" s="1232" t="inlineStr">
        <is>
          <t xml:space="preserve">     Natural Catastrophe Risk</t>
        </is>
      </c>
      <c r="C32" s="2920" t="n"/>
      <c r="D32" s="2916">
        <f>MAX(0,IF('CA.P.1.A PCA Summary NetFDB'!$P$6="Without transition", 'CA.P.1.A PCA Summary NetFDB'!N33,'CA.P.1.A PCA Summary NetFDB'!P33))</f>
        <v/>
      </c>
      <c r="E32" s="2916">
        <f>MAX(0,IF('CA.P.2 PCA Summary GrossFDB'!$P$6="Without transition", 'CA.P.2 PCA Summary GrossFDB'!N33,'CA.P.2 PCA Summary GrossFDB'!P33))</f>
        <v/>
      </c>
    </row>
    <row r="33" ht="12.75" customHeight="1" s="2828">
      <c r="A33" s="1509" t="n"/>
      <c r="B33" s="1232" t="inlineStr">
        <is>
          <t xml:space="preserve">     Man-made Non-systemic Catastrophe Risk</t>
        </is>
      </c>
      <c r="C33" s="2920" t="n"/>
      <c r="D33" s="2916">
        <f>MAX(0,IF('CA.P.1.A PCA Summary NetFDB'!$P$6="Without transition", 'CA.P.1.A PCA Summary NetFDB'!N34,'CA.P.1.A PCA Summary NetFDB'!P34))</f>
        <v/>
      </c>
      <c r="E33" s="2916">
        <f>MAX(0,IF('CA.P.2 PCA Summary GrossFDB'!$P$6="Without transition", 'CA.P.2 PCA Summary GrossFDB'!N34,'CA.P.2 PCA Summary GrossFDB'!P34))</f>
        <v/>
      </c>
    </row>
    <row r="34" ht="12.75" customHeight="1" s="2828">
      <c r="A34" s="1509" t="n"/>
      <c r="B34" s="1232" t="inlineStr">
        <is>
          <t xml:space="preserve">     Man-made Systemic Catastrophe Risk</t>
        </is>
      </c>
      <c r="C34" s="2920" t="n"/>
      <c r="D34" s="2916">
        <f>MAX(0,IF('CA.P.1.A PCA Summary NetFDB'!$P$6="Without transition", 'CA.P.1.A PCA Summary NetFDB'!N35,'CA.P.1.A PCA Summary NetFDB'!P35))</f>
        <v/>
      </c>
      <c r="E34" s="2916">
        <f>MAX(0,IF('CA.P.2 PCA Summary GrossFDB'!$P$6="Without transition", 'CA.P.2 PCA Summary GrossFDB'!N35,'CA.P.2 PCA Summary GrossFDB'!P35))</f>
        <v/>
      </c>
    </row>
    <row r="35" ht="12.75" customHeight="1" s="2828">
      <c r="A35" s="1509" t="n"/>
      <c r="B35" s="1232" t="inlineStr">
        <is>
          <t xml:space="preserve">   Mortgage Insurance Risk</t>
        </is>
      </c>
      <c r="C35" s="2918" t="n">
        <v>0</v>
      </c>
      <c r="D35" s="2919" t="n"/>
      <c r="E35" s="2919" t="n"/>
    </row>
    <row r="36" ht="12.75" customHeight="1" s="2828">
      <c r="A36" s="1509" t="n"/>
      <c r="B36" s="1232" t="inlineStr">
        <is>
          <t>Counterparty Default and Other Risk</t>
        </is>
      </c>
      <c r="C36" s="2921" t="n">
        <v>180</v>
      </c>
      <c r="D36" s="2919" t="n"/>
      <c r="E36" s="2919" t="n"/>
    </row>
    <row r="37" ht="19.35" customHeight="1" s="2828">
      <c r="A37" s="1509" t="n"/>
      <c r="B37" s="2525" t="inlineStr">
        <is>
          <t>PCA before Operational Risk (before LAC cap)</t>
        </is>
      </c>
      <c r="C37" s="2918" t="n">
        <v>4870</v>
      </c>
    </row>
    <row r="38" ht="19.35" customHeight="1" s="2828">
      <c r="A38" s="1509" t="n"/>
      <c r="B38" s="1087" t="inlineStr">
        <is>
          <t>Operational Risk</t>
        </is>
      </c>
      <c r="C38" s="2918" t="n">
        <v>520</v>
      </c>
      <c r="D38" s="134" t="n"/>
      <c r="E38" s="134" t="n"/>
      <c r="F38" s="134" t="n"/>
    </row>
    <row r="39" ht="19.35" customHeight="1" s="2828">
      <c r="A39" s="1509" t="n"/>
      <c r="B39" s="2525" t="inlineStr">
        <is>
          <t>PCA (before LAC cap)</t>
        </is>
      </c>
      <c r="C39" s="2918" t="n">
        <v>5390</v>
      </c>
      <c r="D39" s="134" t="n"/>
      <c r="E39" s="134" t="n"/>
      <c r="F39" s="134" t="n"/>
    </row>
    <row r="40" ht="12.75" customHeight="1" s="2828">
      <c r="A40" s="1509" t="n"/>
      <c r="B40" s="1087" t="inlineStr">
        <is>
          <t>Adjustment for LAC cap</t>
        </is>
      </c>
      <c r="C40" s="2918" t="n">
        <v>-900</v>
      </c>
      <c r="D40" s="134" t="n"/>
      <c r="E40" s="134" t="n"/>
    </row>
    <row r="41" ht="12.75" customHeight="1" s="2828">
      <c r="A41" s="1509" t="n"/>
      <c r="B41" s="1087" t="inlineStr">
        <is>
          <t>Adjustment for tax effect on deferred tax assets</t>
        </is>
      </c>
      <c r="C41" s="2918" t="n">
        <v>-140</v>
      </c>
      <c r="D41" s="134" t="n"/>
      <c r="E41" s="134" t="n"/>
    </row>
    <row r="42" ht="12.75" customHeight="1" s="2828">
      <c r="A42" s="1509" t="n"/>
      <c r="B42" s="1089" t="inlineStr">
        <is>
          <t>PCA</t>
        </is>
      </c>
      <c r="C42" s="2918" t="n">
        <v>4350</v>
      </c>
      <c r="D42" s="134" t="n"/>
      <c r="E42" s="134" t="n"/>
    </row>
    <row r="43" ht="25.5" customHeight="1" s="2828">
      <c r="A43" s="1509" t="n"/>
      <c r="B43" s="23" t="inlineStr">
        <is>
          <t>Any other items which the IA may specify to adjust (for example section 10 adjustment)</t>
        </is>
      </c>
      <c r="C43" s="2922" t="n">
        <v>0</v>
      </c>
      <c r="D43" s="134" t="n"/>
      <c r="E43" s="134" t="n"/>
    </row>
    <row r="44" ht="12.75" customHeight="1" s="2828">
      <c r="A44" s="1509" t="n"/>
      <c r="B44" s="1089" t="inlineStr">
        <is>
          <t>PCA (after specified adjustment where applicable)</t>
        </is>
      </c>
      <c r="C44" s="2923" t="n">
        <v>4350</v>
      </c>
      <c r="D44" s="134" t="n"/>
      <c r="E44" s="134" t="n"/>
    </row>
    <row r="45" ht="12.75" customHeight="1" s="2828">
      <c r="A45" s="1509" t="n"/>
      <c r="B45" s="41" t="n"/>
      <c r="C45" s="2924" t="n"/>
      <c r="D45" s="134" t="n"/>
      <c r="E45" s="134" t="n"/>
    </row>
    <row r="46" ht="12.75" customHeight="1" s="2828">
      <c r="A46" s="1509" t="n"/>
      <c r="B46" s="1085" t="inlineStr">
        <is>
          <t>MCA</t>
        </is>
      </c>
      <c r="C46" s="2916" t="n">
        <v>2175</v>
      </c>
      <c r="D46" s="134" t="n"/>
      <c r="E46" s="134" t="n"/>
    </row>
    <row r="47" ht="25.5" customHeight="1" s="2828">
      <c r="A47" s="1509" t="n"/>
      <c r="B47" s="1512" t="inlineStr">
        <is>
          <t>Any other items which the IA may specify to adjust (for example section 10 adjustment)</t>
        </is>
      </c>
      <c r="C47" s="2925" t="n">
        <v>0</v>
      </c>
      <c r="D47" s="134" t="n"/>
      <c r="E47" s="134" t="n"/>
    </row>
    <row r="48" ht="12.75" customHeight="1" s="2828">
      <c r="A48" s="1509" t="n"/>
      <c r="B48" s="1085" t="inlineStr">
        <is>
          <t>MCA (after specified adjustment where applicable)</t>
        </is>
      </c>
      <c r="C48" s="2916" t="n">
        <v>2175</v>
      </c>
      <c r="D48" s="134" t="n"/>
      <c r="E48" s="134" t="n"/>
    </row>
    <row r="49" ht="12.75" customHeight="1" s="2828">
      <c r="A49" s="1509" t="n"/>
      <c r="B49" s="41" t="n"/>
      <c r="C49" s="41" t="n"/>
      <c r="D49" s="134" t="n"/>
      <c r="E49" s="134" t="n"/>
    </row>
    <row r="50" ht="12.75" customHeight="1" s="2828">
      <c r="A50" s="1509" t="n"/>
      <c r="B50" s="1043" t="inlineStr">
        <is>
          <t>Ratio of Eligible capital to MCA (in %)</t>
        </is>
      </c>
      <c r="C50" s="2927" t="n">
        <v>5.425287</v>
      </c>
      <c r="D50" s="134" t="n"/>
      <c r="E50" s="134" t="n"/>
    </row>
    <row r="51" ht="12.75" customHeight="1" s="2828">
      <c r="B51" s="2795" t="inlineStr">
        <is>
          <t>Ratio of Eligible capital to PCA (in %)</t>
        </is>
      </c>
      <c r="C51" s="2927" t="n">
        <v>2.712644</v>
      </c>
    </row>
    <row r="52" ht="12.75" customHeight="1" s="2828">
      <c r="B52" s="2795" t="inlineStr">
        <is>
          <t>Ratio of Tier 1 Eligible capital to MCA (in %)</t>
        </is>
      </c>
      <c r="C52" s="2927" t="n">
        <v>5.425287</v>
      </c>
    </row>
    <row r="53" ht="12.75" customHeight="1" s="2828">
      <c r="B53" s="2795" t="inlineStr">
        <is>
          <t>Ratio of Tier 1 Eligible capital to PCA (in %)</t>
        </is>
      </c>
      <c r="C53" s="2927" t="n">
        <v>2.712644</v>
      </c>
    </row>
    <row r="54"/>
    <row r="55"/>
    <row r="56">
      <c r="B56" s="134" t="inlineStr">
        <is>
          <t xml:space="preserve"> </t>
        </is>
      </c>
    </row>
  </sheetData>
  <mergeCells count="2">
    <mergeCell ref="C8:F8"/>
    <mergeCell ref="B8:B9"/>
  </mergeCells>
  <dataValidations count="1">
    <dataValidation sqref="C43 C47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7" right="0.7" top="0.75" bottom="0.75" header="0.3" footer="0.3"/>
  <pageSetup orientation="landscape" paperSize="8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Insurance Authority</dc:creator>
  <dcterms:created xmlns:dcterms="http://purl.org/dc/terms/" xmlns:xsi="http://www.w3.org/2001/XMLSchema-instance" xsi:type="dcterms:W3CDTF">2026-03-05T10:26:00Z</dcterms:created>
  <dcterms:modified xmlns:dcterms="http://purl.org/dc/terms/" xmlns:xsi="http://www.w3.org/2001/XMLSchema-instance" xsi:type="dcterms:W3CDTF">2026-05-21T04:02:40Z</dcterms:modified>
  <cp:lastPrinted>2026-03-17T07:38:30Z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0x010100A797F4B6AFC0CF4E91695D0A351844E7</vt:lpwstr>
  </property>
</Properties>
</file>